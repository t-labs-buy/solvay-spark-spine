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onent Mapping" sheetId="2" state="visible" r:id="rId4"/>
    <sheet name="BTP vs Azure" sheetId="3" state="visible" r:id="rId5"/>
    <sheet name="BOM" sheetId="4" state="visible" r:id="rId6"/>
    <sheet name="Price Sources" sheetId="5" state="visible" r:id="rId7"/>
    <sheet name="LLM Usage" sheetId="6" state="visible" r:id="rId8"/>
    <sheet name="Re-engineering" sheetId="7" state="visible" r:id="rId9"/>
    <sheet name="Assumptions" sheetId="8" state="visible" r:id="rId10"/>
  </sheets>
  <definedNames>
    <definedName function="false" hidden="true" localSheetId="7" name="_xlnm._FilterDatabase" vbProcedure="false">Assumptions!$A$4:$D$23</definedName>
    <definedName function="false" hidden="true" localSheetId="3" name="_xlnm._FilterDatabase" vbProcedure="false">BOM!$A$5:$M$31</definedName>
    <definedName function="false" hidden="true" localSheetId="2" name="_xlnm._FilterDatabase" vbProcedure="false">'BTP vs Azure'!$A$4:$H$27</definedName>
    <definedName function="false" hidden="true" localSheetId="1" name="_xlnm._FilterDatabase" vbProcedure="false">'Component Mapping'!$A$4:$G$27</definedName>
    <definedName function="false" hidden="true" localSheetId="4" name="_xlnm._FilterDatabase" vbProcedure="false">'Price Sources'!$A$6:$F$22</definedName>
    <definedName function="false" hidden="true" localSheetId="6" name="_xlnm._FilterDatabase" vbProcedure="false">'Re-engineering'!$A$4:$F$15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<sst xmlns="http://schemas.openxmlformats.org/spreadsheetml/2006/main" count="818" uniqueCount="577">
  <si>
    <t xml:space="preserve">Solvay Spark Spine AI – Microsoft Azure Bill of Materials</t>
  </si>
  <si>
    <t xml:space="preserve">Prepared 2026-10-06 · Source: solvay-spark-spine repo (compose.yml, requirements.txt, docs/system-diagram.md, docs/deployment.md) and Microsoft Learn</t>
  </si>
  <si>
    <t xml:space="preserve">Purpose</t>
  </si>
  <si>
    <t xml:space="preserve">Map every component of the current containerised application to Microsoft Azure services and list the Azure services to procure.</t>
  </si>
  <si>
    <t xml:space="preserve">Recommended target</t>
  </si>
  <si>
    <t xml:space="preserve">Azure Container Apps + Azure Database for PostgreSQL Flexible Server (pgvector + Apache AGE) + Microsoft Foundry (Anthropic Claude, Azure OpenAI embeddings) + Azure AI Content Safety + Blob Storage + Microsoft Entra ID + Key Vault + Azure Monitor.</t>
  </si>
  <si>
    <t xml:space="preserve">Key advantage vs SAP BTP</t>
  </si>
  <si>
    <t xml:space="preserve">Near lift-and-shift: PostgreSQL + pgvector stays PostgreSQL; Neo4j can move into the same server via Apache AGE (openCypher); Claude (Opus 5/5.5, Sonnet 5/5.5, Haiku 4.5) is available natively in Microsoft Foundry, so the Anthropic Messages API is kept.</t>
  </si>
  <si>
    <t xml:space="preserve">Commercial model</t>
  </si>
  <si>
    <t xml:space="preserve">Azure consumption (Enterprise Agreement / MCA, optionally MACC). Claude in Foundry is billed through Azure Marketplace (Anthropic is the seller); CSP subscriptions are NOT eligible for Claude. Unit prices are Azure retail list prices (West Europe, EUR) pulled 2026-10-06 from the Azure Retail Prices API – before EA/MACC discounts, reservations, savings plans and VAT.</t>
  </si>
  <si>
    <t xml:space="preserve">Sheets</t>
  </si>
  <si>
    <t xml:space="preserve">Component Mapping</t>
  </si>
  <si>
    <t xml:space="preserve">Current component → Azure component, with the change required.</t>
  </si>
  <si>
    <t xml:space="preserve">BOM</t>
  </si>
  <si>
    <t xml:space="preserve">Services to procure, SKU, Dev/Prod quantities and monthly/annual cost, linked to Price Sources and LLM Usage.</t>
  </si>
  <si>
    <t xml:space="preserve">Price Sources</t>
  </si>
  <si>
    <t xml:space="preserve">Every Azure retail meter used, with its EUR price and source.</t>
  </si>
  <si>
    <t xml:space="preserve">LLM Usage</t>
  </si>
  <si>
    <t xml:space="preserve">Claude token-cost model per application flow (models taken from the code; volumes are assumptions to edit).</t>
  </si>
  <si>
    <t xml:space="preserve">Re-engineering</t>
  </si>
  <si>
    <t xml:space="preserve">Work items needed to port the application, with effort estimates.</t>
  </si>
  <si>
    <t xml:space="preserve">Assumptions</t>
  </si>
  <si>
    <t xml:space="preserve">Sizing basis and open points to verify with Microsoft.</t>
  </si>
  <si>
    <t xml:space="preserve">How to fill in (legend)</t>
  </si>
  <si>
    <t xml:space="preserve">Yellow cell, blue text</t>
  </si>
  <si>
    <t xml:space="preserve">Input: edit these (BOM quantities, Price Sources prices, LLM Usage volumes and token counts). Example: Ask RAG runs/month 1500 = 1,500 questions per month.</t>
  </si>
  <si>
    <t xml:space="preserve">Black text</t>
  </si>
  <si>
    <t xml:space="preserve">Formula: do not overwrite (monthly and annual cost, totals).</t>
  </si>
  <si>
    <t xml:space="preserve">Component mapping: current stack → Microsoft Azure</t>
  </si>
  <si>
    <t xml:space="preserve">One row per current component</t>
  </si>
  <si>
    <t xml:space="preserve">#</t>
  </si>
  <si>
    <t xml:space="preserve">Layer</t>
  </si>
  <si>
    <t xml:space="preserve">Current component</t>
  </si>
  <si>
    <t xml:space="preserve">Role in application</t>
  </si>
  <si>
    <t xml:space="preserve">Azure component</t>
  </si>
  <si>
    <t xml:space="preserve">Change needed / notes</t>
  </si>
  <si>
    <t xml:space="preserve">Effort (L/M/H)</t>
  </si>
  <si>
    <t xml:space="preserve">Presentation</t>
  </si>
  <si>
    <t xml:space="preserve">React SPA (Vite, MUI), served by FastAPI</t>
  </si>
  <si>
    <t xml:space="preserve">Extract, Ask, Graph, Evidence, InsightLens, Fit-Gap Copilot pages</t>
  </si>
  <si>
    <t xml:space="preserve">Served by the app container (as today), or Azure Static Web Apps</t>
  </si>
  <si>
    <t xml:space="preserve">No change required; Static Web Apps optional for CDN/edge caching.</t>
  </si>
  <si>
    <t xml:space="preserve">L</t>
  </si>
  <si>
    <t xml:space="preserve">Application</t>
  </si>
  <si>
    <t xml:space="preserve">FastAPI backend (backend/api), uvicorn :8000</t>
  </si>
  <si>
    <t xml:space="preserve">REST + SSE API, orchestration</t>
  </si>
  <si>
    <t xml:space="preserve">Azure Container Apps (Dedicated D4/D8 workload profile)</t>
  </si>
  <si>
    <t xml:space="preserve">Same image as today. Alternative: AKS if Solvay standardises on Kubernetes.</t>
  </si>
  <si>
    <t xml:space="preserve">Ingestion</t>
  </si>
  <si>
    <t xml:space="preserve">Docling + Tesseract OCR + OpenCV table/flow CV (backend/ingestion)</t>
  </si>
  <si>
    <t xml:space="preserve">Documents → Markdown</t>
  </si>
  <si>
    <t xml:space="preserve">Azure Container Apps (worker app / Container Apps Jobs); optional serverless GPU (T4)</t>
  </si>
  <si>
    <t xml:space="preserve">Keep Docling. Optional complement: Azure AI Document Intelligence (Layout) for scanned PDFs.</t>
  </si>
  <si>
    <t xml:space="preserve">Cloud VLM – OpenAI / Claude vision (optional)</t>
  </si>
  <si>
    <t xml:space="preserve">Reads images inside documents</t>
  </si>
  <si>
    <t xml:space="preserve">Microsoft Foundry – Azure OpenAI GPT vision models or Claude</t>
  </si>
  <si>
    <t xml:space="preserve">Point vlm_api.py at Foundry endpoints (Entra ID auth).</t>
  </si>
  <si>
    <t xml:space="preserve">AI / LLM</t>
  </si>
  <si>
    <t xml:space="preserve">Anthropic Claude (Opus / Sonnet / Haiku)</t>
  </si>
  <si>
    <t xml:space="preserve">Answers, agent tool loops, NL→Cypher, Ragas judge, scope classifier</t>
  </si>
  <si>
    <t xml:space="preserve">Microsoft Foundry – Claude models (Hosted on Azure: Opus 5.5, Opus 5, Sonnet 5.5, Sonnet 5, Haiku 4.5)</t>
  </si>
  <si>
    <t xml:space="preserve">Keep the Anthropic Messages API; change base URL + auth (Entra ID / key). Global Standard deployment (Data Zone only in US).</t>
  </si>
  <si>
    <t xml:space="preserve">Ollama + bge-m3 (1024-d)</t>
  </si>
  <si>
    <t xml:space="preserve">Embeddings</t>
  </si>
  <si>
    <t xml:space="preserve">Azure OpenAI text-embedding-3-large / -small in Foundry; or bge-m3 on Container Apps serverless GPU / Foundry managed compute</t>
  </si>
  <si>
    <t xml:space="preserve">Keeping bge-m3 avoids a re-embed (restore the existing dump). Switching model requires a full re-index.</t>
  </si>
  <si>
    <t xml:space="preserve">Data</t>
  </si>
  <si>
    <t xml:space="preserve">PostgreSQL 18 + pgvector + full-text/BM25 (rag_documents, rag_chunks)</t>
  </si>
  <si>
    <t xml:space="preserve">Hybrid vector + keyword retrieval</t>
  </si>
  <si>
    <t xml:space="preserve">Azure Database for PostgreSQL – Flexible Server (PG 18, pgvector, optional pg_diskann)</t>
  </si>
  <si>
    <t xml:space="preserve">Lift-and-shift: pg_restore the existing dump; allow-list the vector extension. Alternative: Azure AI Search (hybrid + semantic ranker).</t>
  </si>
  <si>
    <t xml:space="preserve">PostgreSQL run stores (agent runs, Ragas scores, users)</t>
  </si>
  <si>
    <t xml:space="preserve">History and state</t>
  </si>
  <si>
    <t xml:space="preserve">Azure Database for PostgreSQL – Flexible Server (same server)</t>
  </si>
  <si>
    <t xml:space="preserve">No change.</t>
  </si>
  <si>
    <t xml:space="preserve">docling_session DB (one schema per upload)</t>
  </si>
  <si>
    <t xml:space="preserve">Isolated session attachments</t>
  </si>
  <si>
    <t xml:space="preserve">Azure Database for PostgreSQL – Flexible Server (second database)</t>
  </si>
  <si>
    <t xml:space="preserve">App creates the database: grant CREATEDB to the app role (no superuser on Azure PG).</t>
  </si>
  <si>
    <t xml:space="preserve">Graph</t>
  </si>
  <si>
    <t xml:space="preserve">Neo4j 5 Community + APOC</t>
  </si>
  <si>
    <t xml:space="preserve">Graph copy, Cypher view</t>
  </si>
  <si>
    <t xml:space="preserve">Apache AGE extension on the same PostgreSQL Flexible Server (openCypher); or Neo4j AuraDB via Azure Marketplace</t>
  </si>
  <si>
    <t xml:space="preserve">AGE: rewrite loader, wrap queries in cypher() SQL, no APOC. AuraDB: zero code change, extra licence.</t>
  </si>
  <si>
    <t xml:space="preserve">M</t>
  </si>
  <si>
    <t xml:space="preserve">Storage</t>
  </si>
  <si>
    <t xml:space="preserve">knowledge_graph.json, Markdown corpus (solvay-spark/, knowledge_base/), .workdir renders</t>
  </si>
  <si>
    <t xml:space="preserve">File storage</t>
  </si>
  <si>
    <t xml:space="preserve">Azure Files (mounted into Container Apps) + Azure Blob Storage</t>
  </si>
  <si>
    <t xml:space="preserve">Azure Files keeps the current file-path code; Blob for archive/backups. Optionally SharePoint as corpus source.</t>
  </si>
  <si>
    <t xml:space="preserve">Agents</t>
  </si>
  <si>
    <t xml:space="preserve">Evidence Agent, InsightLens, Fit-Gap Copilot (custom tool-use loops)</t>
  </si>
  <si>
    <t xml:space="preserve">Core business logic</t>
  </si>
  <si>
    <t xml:space="preserve">Azure Container Apps + Microsoft Foundry</t>
  </si>
  <si>
    <t xml:space="preserve">Keep code. Optionally publish to Microsoft Teams / M365 Copilot via Foundry Agent Service or Copilot Studio later.</t>
  </si>
  <si>
    <t xml:space="preserve">RAG pipeline (heading-aware chunker, hybrid search)</t>
  </si>
  <si>
    <t xml:space="preserve">Retrieval</t>
  </si>
  <si>
    <t xml:space="preserve">Custom on Container Apps; optional Azure AI Search</t>
  </si>
  <si>
    <t xml:space="preserve">Recommend keeping custom.</t>
  </si>
  <si>
    <t xml:space="preserve">Security</t>
  </si>
  <si>
    <t xml:space="preserve">Guardrails: scope check (Haiku), contact-detail redactor</t>
  </si>
  <si>
    <t xml:space="preserve">Safety</t>
  </si>
  <si>
    <t xml:space="preserve">Azure AI Content Safety (Prompt Shields, harm filters) + Azure AI Language PII detection</t>
  </si>
  <si>
    <t xml:space="preserve">PII detection can replace the regex redactor; domain scope classifier stays custom.</t>
  </si>
  <si>
    <t xml:space="preserve">Hindsight agent memory (own image)</t>
  </si>
  <si>
    <t xml:space="preserve">Recall and retain</t>
  </si>
  <si>
    <t xml:space="preserve">Azure Container Apps (separate app) + PostgreSQL Flexible Server (hindsight DB)</t>
  </si>
  <si>
    <t xml:space="preserve">LiteLLM supports Azure AI / Foundry endpoints natively – configuration change only.</t>
  </si>
  <si>
    <t xml:space="preserve">Observability</t>
  </si>
  <si>
    <t xml:space="preserve">Langfuse Cloud (traces, scores) + Ragas</t>
  </si>
  <si>
    <t xml:space="preserve">Observability and evaluation</t>
  </si>
  <si>
    <t xml:space="preserve">Azure Monitor Application Insights (OpenTelemetry) + Foundry evaluations; or self-hosted Langfuse on Container Apps</t>
  </si>
  <si>
    <t xml:space="preserve">Ragas stays in code.</t>
  </si>
  <si>
    <t xml:space="preserve">Local accounts, AUTH_SECRET, Admin tab</t>
  </si>
  <si>
    <t xml:space="preserve">Authentication and roles</t>
  </si>
  <si>
    <t xml:space="preserve">Microsoft Entra ID (app registration, app roles) + Container Apps built-in authentication</t>
  </si>
  <si>
    <t xml:space="preserve">SSO with Solvay's tenant; Admin tab → Entra app-role / group assignment.</t>
  </si>
  <si>
    <t xml:space="preserve">.env secrets (API keys, DB passwords)</t>
  </si>
  <si>
    <t xml:space="preserve">Secrets</t>
  </si>
  <si>
    <t xml:space="preserve">Azure Key Vault + managed identities</t>
  </si>
  <si>
    <t xml:space="preserve">Managed identity removes most keys (Foundry, Storage, PostgreSQL Entra auth).</t>
  </si>
  <si>
    <t xml:space="preserve">Network</t>
  </si>
  <si>
    <t xml:space="preserve">TLS reverse proxy (not yet in place)</t>
  </si>
  <si>
    <t xml:space="preserve">HTTPS ingress</t>
  </si>
  <si>
    <t xml:space="preserve">Container Apps ingress (managed certificates) + Azure Front Door Premium with WAF</t>
  </si>
  <si>
    <t xml:space="preserve">Private endpoints for PostgreSQL, Storage, Key Vault, Foundry inside a VNet.</t>
  </si>
  <si>
    <t xml:space="preserve">DevOps</t>
  </si>
  <si>
    <t xml:space="preserve">reg.ivolve.cloud registry, docker-publish.sh</t>
  </si>
  <si>
    <t xml:space="preserve">Build and ship</t>
  </si>
  <si>
    <t xml:space="preserve">Azure Container Registry + GitHub Actions or Azure DevOps Pipelines</t>
  </si>
  <si>
    <t xml:space="preserve">Exports: WeasyPrint PDF, python-docx, openpyxl</t>
  </si>
  <si>
    <t xml:space="preserve">Workshop pack exports</t>
  </si>
  <si>
    <t xml:space="preserve">Keep in container; optionally save to SharePoint / OneDrive via Microsoft Graph</t>
  </si>
  <si>
    <t xml:space="preserve">Integration</t>
  </si>
  <si>
    <t xml:space="preserve">(Future) BPML / S/4 sources</t>
  </si>
  <si>
    <t xml:space="preserve">Process hierarchy, As-Is</t>
  </si>
  <si>
    <t xml:space="preserve">Azure Logic Apps (SAP connector) + on-premises data gateway; or Azure API Management</t>
  </si>
  <si>
    <t xml:space="preserve">Pull BPML and Global Template directly instead of file exports.</t>
  </si>
  <si>
    <t xml:space="preserve">Operations</t>
  </si>
  <si>
    <t xml:space="preserve">docker logs, /api/health</t>
  </si>
  <si>
    <t xml:space="preserve">Monitoring</t>
  </si>
  <si>
    <t xml:space="preserve">Azure Monitor, Log Analytics, alerts, Microsoft Defender for Cloud</t>
  </si>
  <si>
    <t xml:space="preserve">Diagnostic settings → Log Analytics for audit.</t>
  </si>
  <si>
    <t xml:space="preserve">Component mapping: current stack → SAP BTP vs Microsoft Azure</t>
  </si>
  <si>
    <t xml:space="preserve">Same mapping in both workbooks (see also sap-btp-bom.xlsx). Effort: L = configuration only, M = moderate code change, H = significant rework.</t>
  </si>
  <si>
    <t xml:space="preserve">Role</t>
  </si>
  <si>
    <t xml:space="preserve">SAP BTP component</t>
  </si>
  <si>
    <t xml:space="preserve">BTP effort</t>
  </si>
  <si>
    <t xml:space="preserve">Microsoft Azure component</t>
  </si>
  <si>
    <t xml:space="preserve">Azure effort</t>
  </si>
  <si>
    <t xml:space="preserve">React SPA (Vite, MUI)</t>
  </si>
  <si>
    <t xml:space="preserve">Web UI</t>
  </si>
  <si>
    <t xml:space="preserve">HTML5 Application Repository + Managed Approuter (SAP Build Work Zone)</t>
  </si>
  <si>
    <t xml:space="preserve">Served by the app container, or Azure Static Web Apps</t>
  </si>
  <si>
    <t xml:space="preserve">FastAPI backend (uvicorn :8000)</t>
  </si>
  <si>
    <t xml:space="preserve">REST + SSE API</t>
  </si>
  <si>
    <t xml:space="preserve">SAP BTP, Kyma runtime (container)</t>
  </si>
  <si>
    <t xml:space="preserve">Azure Container Apps (Dedicated D8)</t>
  </si>
  <si>
    <t xml:space="preserve">Docling + Tesseract OCR + OpenCV</t>
  </si>
  <si>
    <t xml:space="preserve">Kyma runtime (optional GPU node pool)</t>
  </si>
  <si>
    <t xml:space="preserve">Azure Container Apps (optional serverless T4 GPU)</t>
  </si>
  <si>
    <t xml:space="preserve">Cloud VLM (OpenAI / Claude vision)</t>
  </si>
  <si>
    <t xml:space="preserve">Reads images in documents</t>
  </si>
  <si>
    <t xml:space="preserve">Generative AI Hub (SAP AI Core) vision models</t>
  </si>
  <si>
    <t xml:space="preserve">Microsoft Foundry (GPT vision / Claude)</t>
  </si>
  <si>
    <t xml:space="preserve">Answers, agents, NL→Cypher, judge, scope check</t>
  </si>
  <si>
    <t xml:space="preserve">Generative AI Hub – Claude via Bedrock partner models + Orchestration service</t>
  </si>
  <si>
    <t xml:space="preserve">Microsoft Foundry – Claude (Hosted on Azure), same Anthropic Messages API</t>
  </si>
  <si>
    <t xml:space="preserve">HANA Cloud VECTOR_EMBEDDING() or GenAI Hub embeddings – full re-embed</t>
  </si>
  <si>
    <t xml:space="preserve">Keep bge-m3 on Container Apps (no re-embed), or Azure OpenAI text-embedding-3-large</t>
  </si>
  <si>
    <t xml:space="preserve">PostgreSQL 18 + pgvector + BM25</t>
  </si>
  <si>
    <t xml:space="preserve">Hybrid retrieval</t>
  </si>
  <si>
    <t xml:space="preserve">SAP HANA Cloud – Vector Engine + full-text index (SQL port)</t>
  </si>
  <si>
    <t xml:space="preserve">H</t>
  </si>
  <si>
    <t xml:space="preserve">Azure Database for PostgreSQL Flexible Server (restore existing dump)</t>
  </si>
  <si>
    <t xml:space="preserve">Postgres run stores</t>
  </si>
  <si>
    <t xml:space="preserve">Run history, scores, users</t>
  </si>
  <si>
    <t xml:space="preserve">SAP HANA Cloud (HDI container)</t>
  </si>
  <si>
    <t xml:space="preserve">PostgreSQL Flexible Server (same server)</t>
  </si>
  <si>
    <t xml:space="preserve">docling_session DB (schema per upload)</t>
  </si>
  <si>
    <t xml:space="preserve">Isolated session uploads</t>
  </si>
  <si>
    <t xml:space="preserve">HANA Cloud schema or session-keyed tables (redesign)</t>
  </si>
  <si>
    <t xml:space="preserve">PostgreSQL Flexible Server – second database</t>
  </si>
  <si>
    <t xml:space="preserve">HANA Cloud Graph Engine (openCypher subset) or Knowledge Graph Engine (SPARQL)</t>
  </si>
  <si>
    <t xml:space="preserve">Apache AGE on PostgreSQL (openCypher), or Neo4j AuraDB (Marketplace)</t>
  </si>
  <si>
    <t xml:space="preserve">Markdown corpus, knowledge_graph.json, .workdir</t>
  </si>
  <si>
    <t xml:space="preserve">SAP Object Store or Document Management Service</t>
  </si>
  <si>
    <t xml:space="preserve">Azure Files (mounted) + Blob Storage</t>
  </si>
  <si>
    <t xml:space="preserve">Evidence Agent, InsightLens, Fit-Gap Copilot</t>
  </si>
  <si>
    <t xml:space="preserve">Agent logic</t>
  </si>
  <si>
    <t xml:space="preserve">Kyma + Generative AI Hub (optional Joule Studio later)</t>
  </si>
  <si>
    <t xml:space="preserve">Container Apps + Microsoft Foundry (optional Teams / Copilot Studio later)</t>
  </si>
  <si>
    <t xml:space="preserve">RAG pipeline (chunker, hybrid search)</t>
  </si>
  <si>
    <t xml:space="preserve">Custom on Kyma, or GenAI Hub Document Grounding</t>
  </si>
  <si>
    <t xml:space="preserve">Custom on Container Apps, or Azure AI Search</t>
  </si>
  <si>
    <t xml:space="preserve">Guardrails (scope check, contact redactor)</t>
  </si>
  <si>
    <t xml:space="preserve">Orchestration service – content filtering + data masking</t>
  </si>
  <si>
    <t xml:space="preserve">Azure AI Content Safety + Azure AI Language PII detection</t>
  </si>
  <si>
    <t xml:space="preserve">Hindsight agent memory</t>
  </si>
  <si>
    <t xml:space="preserve">Recall / retain</t>
  </si>
  <si>
    <t xml:space="preserve">Kyma + HANA / PostgreSQL hyperscaler; LLM calls need AI Core adapter</t>
  </si>
  <si>
    <t xml:space="preserve">Container Apps + PostgreSQL; LiteLLM supports Foundry natively</t>
  </si>
  <si>
    <t xml:space="preserve">Langfuse Cloud + Ragas</t>
  </si>
  <si>
    <t xml:space="preserve">Tracing and evaluation</t>
  </si>
  <si>
    <t xml:space="preserve">SAP Cloud Logging + AI Launchpad, or self-hosted Langfuse</t>
  </si>
  <si>
    <t xml:space="preserve">Application Insights + Foundry evaluations, or self-hosted Langfuse</t>
  </si>
  <si>
    <t xml:space="preserve">Local accounts, Admin tab</t>
  </si>
  <si>
    <t xml:space="preserve">Sign-in and roles</t>
  </si>
  <si>
    <t xml:space="preserve">Cloud Identity Services (IAS) + XSUAA role collections</t>
  </si>
  <si>
    <t xml:space="preserve">Microsoft Entra ID app roles + Container Apps built-in auth</t>
  </si>
  <si>
    <t xml:space="preserve">.env secrets</t>
  </si>
  <si>
    <t xml:space="preserve">SAP Credential Store</t>
  </si>
  <si>
    <t xml:space="preserve">TLS reverse proxy (missing today)</t>
  </si>
  <si>
    <t xml:space="preserve">Kyma API Gateway (Istio APIRule) + Approuter</t>
  </si>
  <si>
    <t xml:space="preserve">Azure Front Door Premium (WAF) + private endpoints</t>
  </si>
  <si>
    <t xml:space="preserve">reg.ivolve.cloud, docker-publish.sh</t>
  </si>
  <si>
    <t xml:space="preserve">SAP CI/CD service + external registry + Cloud Transport Management</t>
  </si>
  <si>
    <t xml:space="preserve">Azure Container Registry + GitHub Actions / Azure DevOps</t>
  </si>
  <si>
    <t xml:space="preserve">WeasyPrint / python-docx / openpyxl exports</t>
  </si>
  <si>
    <t xml:space="preserve">In container (optional SAP Forms service by Adobe)</t>
  </si>
  <si>
    <t xml:space="preserve">In container (optional SharePoint via Microsoft Graph)</t>
  </si>
  <si>
    <t xml:space="preserve">Process data</t>
  </si>
  <si>
    <t xml:space="preserve">Destination + Connectivity + Cloud Connector; Cloud ALM / Signavio APIs</t>
  </si>
  <si>
    <t xml:space="preserve">Logic Apps SAP connector + on-premises data gateway</t>
  </si>
  <si>
    <t xml:space="preserve">Monitoring and audit</t>
  </si>
  <si>
    <t xml:space="preserve">Cloud Logging, Alert Notification, Cloud ALM, Audit Log service</t>
  </si>
  <si>
    <t xml:space="preserve">Azure Monitor / Log Analytics, alerts, Defender for Cloud</t>
  </si>
  <si>
    <t xml:space="preserve">Count of components</t>
  </si>
  <si>
    <t xml:space="preserve">Low effort</t>
  </si>
  <si>
    <t xml:space="preserve">Medium effort</t>
  </si>
  <si>
    <t xml:space="preserve">High effort</t>
  </si>
  <si>
    <t xml:space="preserve">Key difference: Azure is close to a lift-and-shift (Postgres, pgvector, bge-m3 and the Anthropic API all stay); SAP BTP needs a HANA port, a re-embed, a graph migration and an AI Core LLM client. Re-engineering estimate ≈ 11 person-weeks (Azure) vs 17.5 (BTP).</t>
  </si>
  <si>
    <t xml:space="preserve">Bill of materials – Microsoft Azure services</t>
  </si>
  <si>
    <t xml:space="preserve">West Europe · EUR · retail list prices (2026-10-06). Unit price per unit per month links to Price Sources / LLM Usage; quantities are sizing starting points.</t>
  </si>
  <si>
    <t xml:space="preserve">Currency</t>
  </si>
  <si>
    <t xml:space="preserve">EUR</t>
  </si>
  <si>
    <t xml:space="preserve">Line</t>
  </si>
  <si>
    <t xml:space="preserve">Category</t>
  </si>
  <si>
    <t xml:space="preserve">Azure service</t>
  </si>
  <si>
    <t xml:space="preserve">SKU / tier</t>
  </si>
  <si>
    <t xml:space="preserve">Unit (per month)</t>
  </si>
  <si>
    <t xml:space="preserve">Required?</t>
  </si>
  <si>
    <t xml:space="preserve">Maps current component(s)</t>
  </si>
  <si>
    <t xml:space="preserve">Dev qty</t>
  </si>
  <si>
    <t xml:space="preserve">Prod qty</t>
  </si>
  <si>
    <t xml:space="preserve">Unit price / month</t>
  </si>
  <si>
    <t xml:space="preserve">Monthly cost</t>
  </si>
  <si>
    <t xml:space="preserve">Annual cost</t>
  </si>
  <si>
    <t xml:space="preserve">Sizing / pricing note</t>
  </si>
  <si>
    <t xml:space="preserve">Compute</t>
  </si>
  <si>
    <t xml:space="preserve">Azure Container Apps – Dedicated node</t>
  </si>
  <si>
    <t xml:space="preserve">D8 (8 vCPU / 32 GiB)</t>
  </si>
  <si>
    <t xml:space="preserve">Node</t>
  </si>
  <si>
    <t xml:space="preserve">Required</t>
  </si>
  <si>
    <t xml:space="preserve">FastAPI, Docling ingestion, agents, Hindsight</t>
  </si>
  <si>
    <t xml:space="preserve">Prod 2 nodes for HA; Dev 1 node.</t>
  </si>
  <si>
    <t xml:space="preserve">Azure Container Apps – Dedicated plan management</t>
  </si>
  <si>
    <t xml:space="preserve">Per environment</t>
  </si>
  <si>
    <t xml:space="preserve">Environment</t>
  </si>
  <si>
    <t xml:space="preserve">Container Apps environment</t>
  </si>
  <si>
    <t xml:space="preserve">Azure Container Apps – serverless GPU</t>
  </si>
  <si>
    <t xml:space="preserve">Consumption-GPU-NC8as-T4</t>
  </si>
  <si>
    <t xml:space="preserve">GPU-hour</t>
  </si>
  <si>
    <t xml:space="preserve">Optional</t>
  </si>
  <si>
    <t xml:space="preserve">Docling / OCR acceleration</t>
  </si>
  <si>
    <t xml:space="preserve">Not priced: API meter rounds to 0.0001 EUR/s; price in calculator if needed.</t>
  </si>
  <si>
    <t xml:space="preserve">Database</t>
  </si>
  <si>
    <t xml:space="preserve">PostgreSQL Flexible Server – Dev</t>
  </si>
  <si>
    <t xml:space="preserve">Burstable B2ms, PG 18</t>
  </si>
  <si>
    <t xml:space="preserve">Server</t>
  </si>
  <si>
    <t xml:space="preserve">PostgreSQL + pgvector, run stores, session DB, Hindsight DB, AGE graph</t>
  </si>
  <si>
    <t xml:space="preserve">PostgreSQL Flexible Server – Prod</t>
  </si>
  <si>
    <t xml:space="preserve">General Purpose D4ds_v5 (4 vCore/16 GB), PG 18</t>
  </si>
  <si>
    <t xml:space="preserve">As above</t>
  </si>
  <si>
    <t xml:space="preserve">PostgreSQL Flexible Server – zone-redundant HA standby</t>
  </si>
  <si>
    <t xml:space="preserve">D4ds_v5</t>
  </si>
  <si>
    <t xml:space="preserve">Production resilience</t>
  </si>
  <si>
    <t xml:space="preserve">Standby billed at the primary's compute rate.</t>
  </si>
  <si>
    <t xml:space="preserve">PostgreSQL Flexible Server – storage</t>
  </si>
  <si>
    <t xml:space="preserve">Premium SSD</t>
  </si>
  <si>
    <t xml:space="preserve">GB</t>
  </si>
  <si>
    <t xml:space="preserve">Corpus index, embeddings, run history</t>
  </si>
  <si>
    <t xml:space="preserve">Backup storage up to 100% of provisioned size included.</t>
  </si>
  <si>
    <t xml:space="preserve">AI</t>
  </si>
  <si>
    <t xml:space="preserve">Microsoft Foundry – Anthropic Claude (Opus 5 / Sonnet 5 / Haiku 4.5)</t>
  </si>
  <si>
    <t xml:space="preserve">Global Standard</t>
  </si>
  <si>
    <t xml:space="preserve">Monthly token spend (LLM Usage)</t>
  </si>
  <si>
    <t xml:space="preserve">Answers, agents, NL→Cypher, Ragas judge, guardrails, Hindsight, vision</t>
  </si>
  <si>
    <t xml:space="preserve">Unit = Prod monthly spend from LLM Usage; Dev qty 0.1 = 10% of Prod volume. Billed via Azure Marketplace.</t>
  </si>
  <si>
    <t xml:space="preserve">Microsoft Foundry – Azure OpenAI embeddings</t>
  </si>
  <si>
    <t xml:space="preserve">text-embedding-3-large</t>
  </si>
  <si>
    <t xml:space="preserve">1M tokens</t>
  </si>
  <si>
    <t xml:space="preserve">Only if replacing bge-m3</t>
  </si>
  <si>
    <t xml:space="preserve">Re-index of corpus is a one-off; set qty if chosen.</t>
  </si>
  <si>
    <t xml:space="preserve">Azure AI Content Safety</t>
  </si>
  <si>
    <t xml:space="preserve">Standard</t>
  </si>
  <si>
    <t xml:space="preserve">1K text records</t>
  </si>
  <si>
    <t xml:space="preserve">Guardrails – prompt shields, harm filters</t>
  </si>
  <si>
    <t xml:space="preserve">Prod ~5,000 text records/month.</t>
  </si>
  <si>
    <t xml:space="preserve">Azure AI Language – PII detection</t>
  </si>
  <si>
    <t xml:space="preserve">S</t>
  </si>
  <si>
    <t xml:space="preserve">Contact-detail redactor</t>
  </si>
  <si>
    <t xml:space="preserve">Not priced (tiered); regex redactor can stay.</t>
  </si>
  <si>
    <t xml:space="preserve">Azure AI Document Intelligence</t>
  </si>
  <si>
    <t xml:space="preserve">S0 – Layout</t>
  </si>
  <si>
    <t xml:space="preserve">1K pages</t>
  </si>
  <si>
    <t xml:space="preserve">Complement to Tesseract OCR</t>
  </si>
  <si>
    <t xml:space="preserve">Not priced.</t>
  </si>
  <si>
    <t xml:space="preserve">Azure Files</t>
  </si>
  <si>
    <t xml:space="preserve">Premium, ZRS</t>
  </si>
  <si>
    <t xml:space="preserve">GB provisioned</t>
  </si>
  <si>
    <t xml:space="preserve">Markdown corpus, knowledge_base, graph JSON, .workdir</t>
  </si>
  <si>
    <t xml:space="preserve">Azure Blob Storage</t>
  </si>
  <si>
    <t xml:space="preserve">Hot, ZRS</t>
  </si>
  <si>
    <t xml:space="preserve">Uploads archive, exports, backups</t>
  </si>
  <si>
    <t xml:space="preserve">Transactions negligible at this volume.</t>
  </si>
  <si>
    <t xml:space="preserve">Registry</t>
  </si>
  <si>
    <t xml:space="preserve">Azure Container Registry</t>
  </si>
  <si>
    <t xml:space="preserve">reg.ivolve.cloud</t>
  </si>
  <si>
    <t xml:space="preserve">One registry serves both environments.</t>
  </si>
  <si>
    <t xml:space="preserve">Microsoft Entra ID</t>
  </si>
  <si>
    <t xml:space="preserve">P1</t>
  </si>
  <si>
    <t xml:space="preserve">User</t>
  </si>
  <si>
    <t xml:space="preserve">Sign-in / roles</t>
  </si>
  <si>
    <t xml:space="preserve">Assumed already licensed by Solvay.</t>
  </si>
  <si>
    <t xml:space="preserve">Azure Key Vault</t>
  </si>
  <si>
    <t xml:space="preserve">10K operations</t>
  </si>
  <si>
    <t xml:space="preserve">Azure Front Door</t>
  </si>
  <si>
    <t xml:space="preserve">Premium (WAF + Private Link)</t>
  </si>
  <si>
    <t xml:space="preserve">Profile</t>
  </si>
  <si>
    <t xml:space="preserve">TLS reverse proxy</t>
  </si>
  <si>
    <t xml:space="preserve">Base fee only; request and data transfer charges small at this volume.</t>
  </si>
  <si>
    <t xml:space="preserve">Private Endpoints</t>
  </si>
  <si>
    <t xml:space="preserve">Endpoint</t>
  </si>
  <si>
    <t xml:space="preserve">PostgreSQL, Files, Blob, Key Vault, Foundry</t>
  </si>
  <si>
    <t xml:space="preserve">Data processed charges excluded.</t>
  </si>
  <si>
    <t xml:space="preserve">Log Analytics + Application Insights</t>
  </si>
  <si>
    <t xml:space="preserve">Pay-as-you-go</t>
  </si>
  <si>
    <t xml:space="preserve">GB ingested</t>
  </si>
  <si>
    <t xml:space="preserve">Traces, container logs, audit</t>
  </si>
  <si>
    <t xml:space="preserve">First 5 GB/month per billing account free – not deducted.</t>
  </si>
  <si>
    <t xml:space="preserve">Microsoft Defender for Containers</t>
  </si>
  <si>
    <t xml:space="preserve">vCore</t>
  </si>
  <si>
    <t xml:space="preserve">Security posture</t>
  </si>
  <si>
    <t xml:space="preserve">Prod 2 × 8 vCPU nodes.</t>
  </si>
  <si>
    <t xml:space="preserve">Self-hosted Langfuse on Container Apps</t>
  </si>
  <si>
    <t xml:space="preserve">Runs on existing nodes + PostgreSQL</t>
  </si>
  <si>
    <t xml:space="preserve">Instance</t>
  </si>
  <si>
    <t xml:space="preserve">Keep Langfuse UX inside Azure</t>
  </si>
  <si>
    <t xml:space="preserve">Fits in the D8 nodes; no extra cost assumed.</t>
  </si>
  <si>
    <t xml:space="preserve">GitHub Actions / Azure DevOps Pipelines</t>
  </si>
  <si>
    <t xml:space="preserve">Parallel job</t>
  </si>
  <si>
    <t xml:space="preserve">docker-publish.sh pipeline</t>
  </si>
  <si>
    <t xml:space="preserve">Usually already licensed.</t>
  </si>
  <si>
    <t xml:space="preserve">Azure Logic Apps + on-premises data gateway</t>
  </si>
  <si>
    <t xml:space="preserve">Workflow</t>
  </si>
  <si>
    <t xml:space="preserve">Future SAP back-end feeds</t>
  </si>
  <si>
    <t xml:space="preserve">Only if integrating SAP back-ends.</t>
  </si>
  <si>
    <t xml:space="preserve">Neo4j AuraDB Professional (Azure Marketplace)</t>
  </si>
  <si>
    <t xml:space="preserve">Professional</t>
  </si>
  <si>
    <t xml:space="preserve">Alternative</t>
  </si>
  <si>
    <t xml:space="preserve">Neo4j without code change</t>
  </si>
  <si>
    <t xml:space="preserve">Instead of Apache AGE.</t>
  </si>
  <si>
    <t xml:space="preserve">Search</t>
  </si>
  <si>
    <t xml:space="preserve">Azure AI Search</t>
  </si>
  <si>
    <t xml:space="preserve">Basic / S1</t>
  </si>
  <si>
    <t xml:space="preserve">Search unit</t>
  </si>
  <si>
    <t xml:space="preserve">Alternative to pgvector hybrid search</t>
  </si>
  <si>
    <t xml:space="preserve">Only if replacing in-database retrieval.</t>
  </si>
  <si>
    <t xml:space="preserve">Total – Required</t>
  </si>
  <si>
    <t xml:space="preserve">Total – Optional</t>
  </si>
  <si>
    <t xml:space="preserve">Total – all lines (excl. Alternative)</t>
  </si>
  <si>
    <t xml:space="preserve">Green = linked from Price Sources / LLM Usage. Yellow price cells = not priced (tiered, licensed or optional) – enter a figure if the line is selected. Retail list prices before discounts, reservations, savings plans and VAT.</t>
  </si>
  <si>
    <t xml:space="preserve">Azure retail price sources</t>
  </si>
  <si>
    <t xml:space="preserve">Azure Retail Prices API, region West Europe (EU West), currency EUR, retrieved 2026-10-06. Blue/yellow cells are editable.</t>
  </si>
  <si>
    <t xml:space="preserve">Hours per month</t>
  </si>
  <si>
    <t xml:space="preserve">Azure standard billing month (730 h)</t>
  </si>
  <si>
    <t xml:space="preserve">USD → EUR factor</t>
  </si>
  <si>
    <t xml:space="preserve">Derived from Azure retail list: Log Analytics ingestion EUR 2.6311 / USD 2.99 (West Europe)</t>
  </si>
  <si>
    <t xml:space="preserve">ID</t>
  </si>
  <si>
    <t xml:space="preserve">Service</t>
  </si>
  <si>
    <t xml:space="preserve">Meter / SKU</t>
  </si>
  <si>
    <t xml:space="preserve">Retail price (EUR)</t>
  </si>
  <si>
    <t xml:space="preserve">Unit of measure</t>
  </si>
  <si>
    <t xml:space="preserve">Source</t>
  </si>
  <si>
    <t xml:space="preserve">P01</t>
  </si>
  <si>
    <t xml:space="preserve">Azure Container Apps</t>
  </si>
  <si>
    <t xml:space="preserve">Dedicated vCPU Usage</t>
  </si>
  <si>
    <t xml:space="preserve">per vCPU-hour</t>
  </si>
  <si>
    <t xml:space="preserve">Azure Retail Prices API, westeurope, EUR</t>
  </si>
  <si>
    <t xml:space="preserve">P02</t>
  </si>
  <si>
    <t xml:space="preserve">Dedicated Memory Usage</t>
  </si>
  <si>
    <t xml:space="preserve">per GiB-hour</t>
  </si>
  <si>
    <t xml:space="preserve">P03</t>
  </si>
  <si>
    <t xml:space="preserve">Dedicated Plan Management</t>
  </si>
  <si>
    <t xml:space="preserve">per hour (per environment)</t>
  </si>
  <si>
    <t xml:space="preserve">P04</t>
  </si>
  <si>
    <t xml:space="preserve">Azure Database for PostgreSQL</t>
  </si>
  <si>
    <t xml:space="preserve">Flexible Server GP Ddsv5 – Standard_D4ds_v5 (4 vCore)</t>
  </si>
  <si>
    <t xml:space="preserve">per hour</t>
  </si>
  <si>
    <t xml:space="preserve">P05</t>
  </si>
  <si>
    <t xml:space="preserve">Flexible Server Burstable – B2ms</t>
  </si>
  <si>
    <t xml:space="preserve">P06</t>
  </si>
  <si>
    <t xml:space="preserve">Flex Server Storage – Data Stored</t>
  </si>
  <si>
    <t xml:space="preserve">per GB-month</t>
  </si>
  <si>
    <t xml:space="preserve">P07</t>
  </si>
  <si>
    <t xml:space="preserve">Storage – Azure Files</t>
  </si>
  <si>
    <t xml:space="preserve">Premium Files – Premium ZRS Provisioned</t>
  </si>
  <si>
    <t xml:space="preserve">P08</t>
  </si>
  <si>
    <t xml:space="preserve">Storage – Blob</t>
  </si>
  <si>
    <t xml:space="preserve">General Block Blob v2 – Hot ZRS Data Stored (first tier)</t>
  </si>
  <si>
    <t xml:space="preserve">P09</t>
  </si>
  <si>
    <t xml:space="preserve">Container Registry</t>
  </si>
  <si>
    <t xml:space="preserve">Standard Registry Unit</t>
  </si>
  <si>
    <t xml:space="preserve">per day</t>
  </si>
  <si>
    <t xml:space="preserve">P10</t>
  </si>
  <si>
    <t xml:space="preserve">Key Vault</t>
  </si>
  <si>
    <t xml:space="preserve">Standard – Operations</t>
  </si>
  <si>
    <t xml:space="preserve">per 10K operations</t>
  </si>
  <si>
    <t xml:space="preserve">P11</t>
  </si>
  <si>
    <t xml:space="preserve">Premium Base Fees</t>
  </si>
  <si>
    <t xml:space="preserve">per month</t>
  </si>
  <si>
    <t xml:space="preserve">Azure Retail Prices API, Zone 1, EUR</t>
  </si>
  <si>
    <t xml:space="preserve">P12</t>
  </si>
  <si>
    <t xml:space="preserve">Virtual Network Private Link</t>
  </si>
  <si>
    <t xml:space="preserve">Standard Private Endpoint</t>
  </si>
  <si>
    <t xml:space="preserve">per endpoint-hour</t>
  </si>
  <si>
    <t xml:space="preserve">Azure Retail Prices API, Global, EUR</t>
  </si>
  <si>
    <t xml:space="preserve">P13</t>
  </si>
  <si>
    <t xml:space="preserve">Log Analytics</t>
  </si>
  <si>
    <t xml:space="preserve">Analytics Logs Data Ingestion (pay-as-you-go)</t>
  </si>
  <si>
    <t xml:space="preserve">per GB</t>
  </si>
  <si>
    <t xml:space="preserve">P14</t>
  </si>
  <si>
    <t xml:space="preserve">Content Safety</t>
  </si>
  <si>
    <t xml:space="preserve">Standard Text Records</t>
  </si>
  <si>
    <t xml:space="preserve">per 1K text records</t>
  </si>
  <si>
    <t xml:space="preserve">P15</t>
  </si>
  <si>
    <t xml:space="preserve">Standard vCore Pack</t>
  </si>
  <si>
    <t xml:space="preserve">per vCore-hour</t>
  </si>
  <si>
    <t xml:space="preserve">P16</t>
  </si>
  <si>
    <t xml:space="preserve">Azure OpenAI</t>
  </si>
  <si>
    <t xml:space="preserve">text-embedding-3-large (Global) Tokens – API shows 0.0001 (rounded)</t>
  </si>
  <si>
    <t xml:space="preserve">per 1K tokens</t>
  </si>
  <si>
    <t xml:space="preserve">Azure Retail Prices API, swedencentral, EUR</t>
  </si>
  <si>
    <t xml:space="preserve">Claude token-cost model (Microsoft Foundry)</t>
  </si>
  <si>
    <t xml:space="preserve">Models per flow come from the code (backend/*). Volumes and tokens per run are ASSUMPTIONS – replace with Langfuse token history.</t>
  </si>
  <si>
    <t xml:space="preserve">Model</t>
  </si>
  <si>
    <t xml:space="preserve">Input USD / 1M tokens</t>
  </si>
  <si>
    <t xml:space="preserve">Output USD / 1M tokens</t>
  </si>
  <si>
    <t xml:space="preserve">claude-opus-5</t>
  </si>
  <si>
    <t xml:space="preserve">Anthropic standard API rates; Foundry bills Claude via Azure Marketplace at standard rates (also backend/core/pricing.py)</t>
  </si>
  <si>
    <t xml:space="preserve">claude-sonnet-5</t>
  </si>
  <si>
    <t xml:space="preserve">claude-haiku-4-5</t>
  </si>
  <si>
    <t xml:space="preserve">Flow</t>
  </si>
  <si>
    <t xml:space="preserve">Code / env var</t>
  </si>
  <si>
    <t xml:space="preserve">Runs / month</t>
  </si>
  <si>
    <t xml:space="preserve">Input tokens / run</t>
  </si>
  <si>
    <t xml:space="preserve">Output tokens / run</t>
  </si>
  <si>
    <t xml:space="preserve">Monthly cost (USD)</t>
  </si>
  <si>
    <t xml:space="preserve">Monthly cost (EUR)</t>
  </si>
  <si>
    <t xml:space="preserve">Basis</t>
  </si>
  <si>
    <t xml:space="preserve">Ask RAG answer</t>
  </si>
  <si>
    <t xml:space="preserve">rag.py · RAG_ANSWER_MODEL</t>
  </si>
  <si>
    <t xml:space="preserve">Assumption: ~75 questions/working day; top chunks ≈ 12k tokens</t>
  </si>
  <si>
    <t xml:space="preserve">Ragas answer scoring (judge)</t>
  </si>
  <si>
    <t xml:space="preserve">rag/evaluation.py · RAG_EVAL_MODEL</t>
  </si>
  <si>
    <t xml:space="preserve">Assumption: one scoring per Ask answer, nine judges</t>
  </si>
  <si>
    <t xml:space="preserve">Scope guardrail classifier</t>
  </si>
  <si>
    <t xml:space="preserve">guardrails/scope.py · AGENT_SCOPE_MODEL</t>
  </si>
  <si>
    <t xml:space="preserve">Assumption: only requests the domain signals don't settle</t>
  </si>
  <si>
    <t xml:space="preserve">Evidence Agent</t>
  </si>
  <si>
    <t xml:space="preserve">agents/evidence · EVIDENCE_MODEL</t>
  </si>
  <si>
    <t xml:space="preserve">Assumption: multi-turn tool loop</t>
  </si>
  <si>
    <t xml:space="preserve">InsightLens (fit-gap register)</t>
  </si>
  <si>
    <t xml:space="preserve">agents/fitgap · FITGAP_MODEL</t>
  </si>
  <si>
    <t xml:space="preserve">Assumption: one BPML scope per run</t>
  </si>
  <si>
    <t xml:space="preserve">Fit-Gap Copilot</t>
  </si>
  <si>
    <t xml:space="preserve">agents/rollout · FITGAP_COPILOT_MODEL</t>
  </si>
  <si>
    <t xml:space="preserve">~120k input tokens per run (app UI estimate); 20 runs/month assumed</t>
  </si>
  <si>
    <t xml:space="preserve">Web guardrail</t>
  </si>
  <si>
    <t xml:space="preserve">guardrails/web.py · AGENT_WEB_MODEL</t>
  </si>
  <si>
    <t xml:space="preserve">Assumption</t>
  </si>
  <si>
    <t xml:space="preserve">NL → Cypher</t>
  </si>
  <si>
    <t xml:space="preserve">graph/kg_nl2cypher.py · CYPHER_MODEL</t>
  </si>
  <si>
    <t xml:space="preserve">Hindsight memory (retain/reflect)</t>
  </si>
  <si>
    <t xml:space="preserve">solvay-hindsight · HINDSIGHT_MODEL</t>
  </si>
  <si>
    <t xml:space="preserve">Assumption: one retain per Evidence run</t>
  </si>
  <si>
    <t xml:space="preserve">Vision conversion (optional)</t>
  </si>
  <si>
    <t xml:space="preserve">ingestion/vlm_api.py</t>
  </si>
  <si>
    <t xml:space="preserve">Assumption: images per month when a cloud VLM is chosen</t>
  </si>
  <si>
    <t xml:space="preserve">Total per month</t>
  </si>
  <si>
    <t xml:space="preserve">Prompt caching (cache reads ≈ 10% of input price) and lower effort settings would reduce these figures; not modelled.</t>
  </si>
  <si>
    <t xml:space="preserve">Re-engineering work items</t>
  </si>
  <si>
    <t xml:space="preserve">Effort in person-weeks is a first estimate; refine during planning</t>
  </si>
  <si>
    <t xml:space="preserve">Work item</t>
  </si>
  <si>
    <t xml:space="preserve">Scope</t>
  </si>
  <si>
    <t xml:space="preserve">Affected code</t>
  </si>
  <si>
    <t xml:space="preserve">Effort (person-weeks)</t>
  </si>
  <si>
    <t xml:space="preserve">Risk</t>
  </si>
  <si>
    <t xml:space="preserve">PostgreSQL migration</t>
  </si>
  <si>
    <t xml:space="preserve">Provision Flexible Server PG 18, allow-list vector (+ age), restore dump, grant CREATEDB for session DB, Entra auth</t>
  </si>
  <si>
    <t xml:space="preserve">backend/rag/rag.py (connection only)</t>
  </si>
  <si>
    <t xml:space="preserve">Low</t>
  </si>
  <si>
    <t xml:space="preserve">LLM client to Microsoft Foundry</t>
  </si>
  <si>
    <t xml:space="preserve">Point Anthropic SDK at Foundry Claude endpoint, Entra/key auth, deployment names; verify tool use + streaming</t>
  </si>
  <si>
    <t xml:space="preserve">backend/agents, backend/rag, backend/graph</t>
  </si>
  <si>
    <t xml:space="preserve">Option A: bge-m3 on Container Apps GPU/CPU (no re-index). Option B: Azure OpenAI embeddings + full re-index</t>
  </si>
  <si>
    <t xml:space="preserve">backend/rag</t>
  </si>
  <si>
    <t xml:space="preserve">Graph to Apache AGE</t>
  </si>
  <si>
    <t xml:space="preserve">Rewrite loader, wrap Cypher in cypher() SQL, replace APOC, re-prompt NL→Cypher (skip if AuraDB chosen)</t>
  </si>
  <si>
    <t xml:space="preserve">backend/graph/kg_neo4j_load.py, kg_nl2cypher.py</t>
  </si>
  <si>
    <t xml:space="preserve">Medium</t>
  </si>
  <si>
    <t xml:space="preserve">Guardrails</t>
  </si>
  <si>
    <t xml:space="preserve">Add Content Safety Prompt Shields; optional Language PII for redaction</t>
  </si>
  <si>
    <t xml:space="preserve">backend/agents/guardrails</t>
  </si>
  <si>
    <t xml:space="preserve">Authentication to Entra ID</t>
  </si>
  <si>
    <t xml:space="preserve">Container Apps built-in auth or MSAL/JWT in FastAPI; map app roles to Admin/User</t>
  </si>
  <si>
    <t xml:space="preserve">backend/api</t>
  </si>
  <si>
    <t xml:space="preserve">Azure Files mounts for corpus, knowledge_base, graph data, workdir</t>
  </si>
  <si>
    <t xml:space="preserve">compose.yml → Container Apps config</t>
  </si>
  <si>
    <t xml:space="preserve">Hindsight memory</t>
  </si>
  <si>
    <t xml:space="preserve">Point LiteLLM at Foundry Claude; new Container App</t>
  </si>
  <si>
    <t xml:space="preserve">Dockerfile.hindsight, env</t>
  </si>
  <si>
    <t xml:space="preserve">OpenTelemetry → Application Insights, or self-host Langfuse; Foundry evaluations optional</t>
  </si>
  <si>
    <t xml:space="preserve">backend/core/tracing.py, evaluation.py</t>
  </si>
  <si>
    <t xml:space="preserve">Infrastructure as code &amp; CI/CD</t>
  </si>
  <si>
    <t xml:space="preserve">Bicep/Terraform for all resources, VNet + private endpoints, ACR, pipelines</t>
  </si>
  <si>
    <t xml:space="preserve">Dockerfile, scripts/</t>
  </si>
  <si>
    <t xml:space="preserve">Testing &amp; cut-over</t>
  </si>
  <si>
    <t xml:space="preserve">Regression of RAG, agents, Fit-Gap outputs vs current; data migration; UAT</t>
  </si>
  <si>
    <t xml:space="preserve">backend/tests</t>
  </si>
  <si>
    <t xml:space="preserve">Total</t>
  </si>
  <si>
    <t xml:space="preserve">Assumptions and open points</t>
  </si>
  <si>
    <t xml:space="preserve">Verify open points with Microsoft before finalising the BOM</t>
  </si>
  <si>
    <t xml:space="preserve">Type</t>
  </si>
  <si>
    <t xml:space="preserve">Item</t>
  </si>
  <si>
    <t xml:space="preserve">Source / basis</t>
  </si>
  <si>
    <t xml:space="preserve">Current app image is ~3–4 GB with OS packages (LibreOffice, Poppler, Tesseract, pango/cairo) – runs unchanged on Container Apps.</t>
  </si>
  <si>
    <t xml:space="preserve">docs/deployment.md, Dockerfile</t>
  </si>
  <si>
    <t xml:space="preserve">Knowledge graph ~11k nodes / ~21k relationships – small enough for Apache AGE in the same PostgreSQL server.</t>
  </si>
  <si>
    <t xml:space="preserve">compose.neo4j.yml</t>
  </si>
  <si>
    <t xml:space="preserve">Render storage ~20 MB per large deck (144 slides), never auto-cleaned.</t>
  </si>
  <si>
    <t xml:space="preserve">README.md</t>
  </si>
  <si>
    <t xml:space="preserve">Fit-Gap Copilot run ≈ 120k input tokens (basis for Claude token sizing).</t>
  </si>
  <si>
    <t xml:space="preserve">Application UI estimate</t>
  </si>
  <si>
    <t xml:space="preserve">Prod Container Apps: 2 × D8 nodes; Dev: 1 node. PostgreSQL Prod D4ds_v5, Dev B2ms.</t>
  </si>
  <si>
    <t xml:space="preserve">Sizing starting point – to validate under load test</t>
  </si>
  <si>
    <t xml:space="preserve">Microsoft Entra ID licences already held by Solvay.</t>
  </si>
  <si>
    <t xml:space="preserve">To confirm with Solvay IT</t>
  </si>
  <si>
    <t xml:space="preserve">Prices are retail list prices, West Europe, EUR, retrieved 2026-10-06; no EA/MACC discount, reservation, savings plan or VAT applied.</t>
  </si>
  <si>
    <t xml:space="preserve">Azure Retail Prices API (prices.azure.com) via Azure MCP plugin</t>
  </si>
  <si>
    <t xml:space="preserve">Claude priced at Anthropic standard API rates in USD (Foundry bills via Marketplace at standard rates), converted at the USD→EUR factor on Price Sources.</t>
  </si>
  <si>
    <t xml:space="preserve">Anthropic pricing; backend/core/pricing.py</t>
  </si>
  <si>
    <t xml:space="preserve">LLM volumes (runs per month, tokens per run) are estimates – replace with Langfuse token history before quoting.</t>
  </si>
  <si>
    <t xml:space="preserve">LLM Usage sheet</t>
  </si>
  <si>
    <t xml:space="preserve">Dev LLM spend = 10% of Prod volume (Dev qty 0.1 on the Claude BOM line).</t>
  </si>
  <si>
    <t xml:space="preserve">Sizing starting point</t>
  </si>
  <si>
    <t xml:space="preserve">Not priced</t>
  </si>
  <si>
    <t xml:space="preserve">Serverless T4 GPU, Language PII, Document Intelligence, Entra ID, GitHub/Azure DevOps, Logic Apps, self-hosted Langfuse, AuraDB, AI Search – tiered, licence-based or optional; left blank.</t>
  </si>
  <si>
    <t xml:space="preserve">Price in Azure Pricing Calculator if selected</t>
  </si>
  <si>
    <t xml:space="preserve">Fact</t>
  </si>
  <si>
    <t xml:space="preserve">Claude Opus 5.5, Opus 5, Sonnet 5.5, Sonnet 5 and Haiku 4.5 are offered in Microsoft Foundry (Hosted on Azure), Global Standard deployment; Data Zone Standard only in the US.</t>
  </si>
  <si>
    <t xml:space="preserve">learn.microsoft.com/azure/foundry/foundry-models/concepts/claude-models</t>
  </si>
  <si>
    <t xml:space="preserve">Claude in Foundry is billed via Azure Marketplace; CSP subscriptions and credit-only subscriptions are not eligible.</t>
  </si>
  <si>
    <t xml:space="preserve">learn.microsoft.com/azure/foundry/foundry-models/how-to/use-foundry-models-claude</t>
  </si>
  <si>
    <t xml:space="preserve">Azure Database for PostgreSQL supports Apache AGE 1.7.0 (openCypher) on PG 18 – requires shared_preload_libraries.</t>
  </si>
  <si>
    <t xml:space="preserve">learn.microsoft.com/azure/postgresql/extensions/concepts-extensions-versions</t>
  </si>
  <si>
    <t xml:space="preserve">Container Apps serverless T4 GPUs available in West Europe, France Central, Sweden Central (A100 in Sweden Central).</t>
  </si>
  <si>
    <t xml:space="preserve">learn.microsoft.com/azure/container-apps/gpu-serverless-overview</t>
  </si>
  <si>
    <t xml:space="preserve">Open point</t>
  </si>
  <si>
    <t xml:space="preserve">Data residency: Global Standard Claude deployment may process outside the EU – confirm acceptability with Solvay security (no EU Data Zone for Claude today).</t>
  </si>
  <si>
    <t xml:space="preserve">Solvay security / Microsoft</t>
  </si>
  <si>
    <t xml:space="preserve">Solvay's Azure subscription type (EA/MCA vs CSP) – CSP blocks Claude in Foundry.</t>
  </si>
  <si>
    <t xml:space="preserve">Solvay IT</t>
  </si>
  <si>
    <t xml:space="preserve">Keep bge-m3 (no re-index) vs move to Azure OpenAI embeddings.</t>
  </si>
  <si>
    <t xml:space="preserve">Architecture decision</t>
  </si>
  <si>
    <t xml:space="preserve">Apache AGE vs Neo4j AuraDB for the graph view.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</si>
</sst>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#,##0;\(#,##0\);\-"/>
    <numFmt numFmtId="167" formatCode="0.00"/>
    <numFmt numFmtId="168" formatCode="#,##0.0000"/>
    <numFmt numFmtId="169" formatCode="\$#,##0.00"/>
    <numFmt numFmtId="170" formatCode="#,##0"/>
    <numFmt numFmtId="171" formatCode="\$#,##0"/>
    <numFmt numFmtId="172" formatCode="\€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rgb="FF008080"/>
      </patternFill>
    </fill>
    <fill>
      <patternFill patternType="solid">
        <fgColor rgb="FF00A4EF"/>
        <bgColor rgb="FF0070C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A4E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4E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34.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4" t="s">
        <v>10</v>
      </c>
      <c r="B9" s="5"/>
    </row>
    <row r="10" customFormat="false" ht="15" hidden="false" customHeight="true" outlineLevel="0" collapsed="false">
      <c r="A10" s="4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5" t="s">
        <v>14</v>
      </c>
    </row>
    <row r="12" customFormat="false" ht="15" hidden="false" customHeight="true" outlineLevel="0" collapsed="false">
      <c r="A12" s="4" t="s">
        <v>15</v>
      </c>
      <c r="B12" s="5" t="s">
        <v>16</v>
      </c>
    </row>
    <row r="13" customFormat="false" ht="15" hidden="false" customHeight="true" outlineLevel="0" collapsed="false">
      <c r="A13" s="4" t="s">
        <v>17</v>
      </c>
      <c r="B13" s="5" t="s">
        <v>18</v>
      </c>
    </row>
    <row r="14" customFormat="false" ht="15" hidden="false" customHeight="true" outlineLevel="0" collapsed="false">
      <c r="A14" s="4" t="s">
        <v>19</v>
      </c>
      <c r="B14" s="5" t="s">
        <v>20</v>
      </c>
    </row>
    <row r="15" customFormat="false" ht="15" hidden="false" customHeight="true" outlineLevel="0" collapsed="false">
      <c r="A15" s="4" t="s">
        <v>21</v>
      </c>
      <c r="B15" s="5" t="s">
        <v>22</v>
      </c>
    </row>
    <row r="16" customFormat="false" ht="15" hidden="false" customHeight="true" outlineLevel="0" collapsed="false">
      <c r="A16" s="6"/>
      <c r="B16" s="5"/>
    </row>
    <row r="17" customFormat="false" ht="15" hidden="false" customHeight="true" outlineLevel="0" collapsed="false">
      <c r="A17" s="4" t="s">
        <v>23</v>
      </c>
      <c r="B17" s="5"/>
    </row>
    <row r="18" customFormat="false" ht="23.25" hidden="false" customHeight="true" outlineLevel="0" collapsed="false">
      <c r="A18" s="4" t="s">
        <v>24</v>
      </c>
      <c r="B18" s="5" t="s">
        <v>25</v>
      </c>
    </row>
    <row r="19" customFormat="false" ht="15" hidden="false" customHeight="true" outlineLevel="0" collapsed="false">
      <c r="A19" s="4" t="s">
        <v>26</v>
      </c>
      <c r="B19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5" min="5" style="1" width="48"/>
    <col collapsed="false" customWidth="true" hidden="false" outlineLevel="0" max="6" min="6" style="1" width="55"/>
    <col collapsed="false" customWidth="true" hidden="false" outlineLevel="0" max="7" min="7" style="1" width="10"/>
  </cols>
  <sheetData>
    <row r="1" customFormat="false" ht="17.2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4" customFormat="false" ht="23.25" hidden="false" customHeight="tru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</row>
    <row r="5" customFormat="false" ht="23.25" hidden="false" customHeight="true" outlineLevel="0" collapsed="false">
      <c r="A5" s="8" t="n">
        <v>1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</row>
    <row r="6" customFormat="false" ht="23.25" hidden="false" customHeight="true" outlineLevel="0" collapsed="false">
      <c r="A6" s="8" t="n">
        <v>2</v>
      </c>
      <c r="B6" s="8" t="s">
        <v>43</v>
      </c>
      <c r="C6" s="8" t="s">
        <v>44</v>
      </c>
      <c r="D6" s="8" t="s">
        <v>45</v>
      </c>
      <c r="E6" s="8" t="s">
        <v>46</v>
      </c>
      <c r="F6" s="8" t="s">
        <v>47</v>
      </c>
      <c r="G6" s="8" t="s">
        <v>42</v>
      </c>
    </row>
    <row r="7" customFormat="false" ht="23.25" hidden="false" customHeight="true" outlineLevel="0" collapsed="false">
      <c r="A7" s="8" t="n">
        <v>3</v>
      </c>
      <c r="B7" s="8" t="s">
        <v>48</v>
      </c>
      <c r="C7" s="8" t="s">
        <v>49</v>
      </c>
      <c r="D7" s="8" t="s">
        <v>50</v>
      </c>
      <c r="E7" s="8" t="s">
        <v>51</v>
      </c>
      <c r="F7" s="8" t="s">
        <v>52</v>
      </c>
      <c r="G7" s="8" t="s">
        <v>42</v>
      </c>
    </row>
    <row r="8" customFormat="false" ht="23.25" hidden="false" customHeight="true" outlineLevel="0" collapsed="false">
      <c r="A8" s="8" t="n">
        <v>4</v>
      </c>
      <c r="B8" s="8" t="s">
        <v>48</v>
      </c>
      <c r="C8" s="8" t="s">
        <v>53</v>
      </c>
      <c r="D8" s="8" t="s">
        <v>54</v>
      </c>
      <c r="E8" s="8" t="s">
        <v>55</v>
      </c>
      <c r="F8" s="8" t="s">
        <v>56</v>
      </c>
      <c r="G8" s="8" t="s">
        <v>42</v>
      </c>
    </row>
    <row r="9" customFormat="false" ht="34.5" hidden="false" customHeight="true" outlineLevel="0" collapsed="false">
      <c r="A9" s="8" t="n">
        <v>5</v>
      </c>
      <c r="B9" s="8" t="s">
        <v>57</v>
      </c>
      <c r="C9" s="8" t="s">
        <v>58</v>
      </c>
      <c r="D9" s="8" t="s">
        <v>59</v>
      </c>
      <c r="E9" s="8" t="s">
        <v>60</v>
      </c>
      <c r="F9" s="8" t="s">
        <v>61</v>
      </c>
      <c r="G9" s="8" t="s">
        <v>42</v>
      </c>
    </row>
    <row r="10" customFormat="false" ht="34.5" hidden="false" customHeight="true" outlineLevel="0" collapsed="false">
      <c r="A10" s="8" t="n">
        <v>6</v>
      </c>
      <c r="B10" s="8" t="s">
        <v>57</v>
      </c>
      <c r="C10" s="8" t="s">
        <v>62</v>
      </c>
      <c r="D10" s="8" t="s">
        <v>63</v>
      </c>
      <c r="E10" s="8" t="s">
        <v>64</v>
      </c>
      <c r="F10" s="8" t="s">
        <v>65</v>
      </c>
      <c r="G10" s="8" t="s">
        <v>42</v>
      </c>
    </row>
    <row r="11" customFormat="false" ht="23.25" hidden="false" customHeight="true" outlineLevel="0" collapsed="false">
      <c r="A11" s="8" t="n">
        <v>7</v>
      </c>
      <c r="B11" s="8" t="s">
        <v>66</v>
      </c>
      <c r="C11" s="8" t="s">
        <v>67</v>
      </c>
      <c r="D11" s="8" t="s">
        <v>68</v>
      </c>
      <c r="E11" s="8" t="s">
        <v>69</v>
      </c>
      <c r="F11" s="8" t="s">
        <v>70</v>
      </c>
      <c r="G11" s="8" t="s">
        <v>42</v>
      </c>
    </row>
    <row r="12" customFormat="false" ht="23.25" hidden="false" customHeight="true" outlineLevel="0" collapsed="false">
      <c r="A12" s="8" t="n">
        <v>8</v>
      </c>
      <c r="B12" s="8" t="s">
        <v>66</v>
      </c>
      <c r="C12" s="8" t="s">
        <v>71</v>
      </c>
      <c r="D12" s="8" t="s">
        <v>72</v>
      </c>
      <c r="E12" s="8" t="s">
        <v>73</v>
      </c>
      <c r="F12" s="8" t="s">
        <v>74</v>
      </c>
      <c r="G12" s="8" t="s">
        <v>42</v>
      </c>
    </row>
    <row r="13" customFormat="false" ht="23.25" hidden="false" customHeight="true" outlineLevel="0" collapsed="false">
      <c r="A13" s="8" t="n">
        <v>9</v>
      </c>
      <c r="B13" s="8" t="s">
        <v>66</v>
      </c>
      <c r="C13" s="8" t="s">
        <v>75</v>
      </c>
      <c r="D13" s="8" t="s">
        <v>76</v>
      </c>
      <c r="E13" s="8" t="s">
        <v>77</v>
      </c>
      <c r="F13" s="8" t="s">
        <v>78</v>
      </c>
      <c r="G13" s="8" t="s">
        <v>42</v>
      </c>
    </row>
    <row r="14" customFormat="false" ht="34.5" hidden="false" customHeight="true" outlineLevel="0" collapsed="false">
      <c r="A14" s="8" t="n">
        <v>10</v>
      </c>
      <c r="B14" s="8" t="s">
        <v>79</v>
      </c>
      <c r="C14" s="8" t="s">
        <v>80</v>
      </c>
      <c r="D14" s="8" t="s">
        <v>81</v>
      </c>
      <c r="E14" s="8" t="s">
        <v>82</v>
      </c>
      <c r="F14" s="8" t="s">
        <v>83</v>
      </c>
      <c r="G14" s="8" t="s">
        <v>84</v>
      </c>
    </row>
    <row r="15" customFormat="false" ht="34.5" hidden="false" customHeight="true" outlineLevel="0" collapsed="false">
      <c r="A15" s="8" t="n">
        <v>11</v>
      </c>
      <c r="B15" s="8" t="s">
        <v>85</v>
      </c>
      <c r="C15" s="8" t="s">
        <v>86</v>
      </c>
      <c r="D15" s="8" t="s">
        <v>87</v>
      </c>
      <c r="E15" s="8" t="s">
        <v>88</v>
      </c>
      <c r="F15" s="8" t="s">
        <v>89</v>
      </c>
      <c r="G15" s="8" t="s">
        <v>42</v>
      </c>
    </row>
    <row r="16" customFormat="false" ht="23.25" hidden="false" customHeight="true" outlineLevel="0" collapsed="false">
      <c r="A16" s="8" t="n">
        <v>12</v>
      </c>
      <c r="B16" s="8" t="s">
        <v>90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42</v>
      </c>
    </row>
    <row r="17" customFormat="false" ht="23.25" hidden="false" customHeight="true" outlineLevel="0" collapsed="false">
      <c r="A17" s="8" t="n">
        <v>13</v>
      </c>
      <c r="B17" s="8" t="s">
        <v>90</v>
      </c>
      <c r="C17" s="8" t="s">
        <v>95</v>
      </c>
      <c r="D17" s="8" t="s">
        <v>96</v>
      </c>
      <c r="E17" s="8" t="s">
        <v>97</v>
      </c>
      <c r="F17" s="8" t="s">
        <v>98</v>
      </c>
      <c r="G17" s="8" t="s">
        <v>42</v>
      </c>
    </row>
    <row r="18" customFormat="false" ht="23.25" hidden="false" customHeight="true" outlineLevel="0" collapsed="false">
      <c r="A18" s="8" t="n">
        <v>14</v>
      </c>
      <c r="B18" s="8" t="s">
        <v>99</v>
      </c>
      <c r="C18" s="8" t="s">
        <v>100</v>
      </c>
      <c r="D18" s="8" t="s">
        <v>101</v>
      </c>
      <c r="E18" s="8" t="s">
        <v>102</v>
      </c>
      <c r="F18" s="8" t="s">
        <v>103</v>
      </c>
      <c r="G18" s="8" t="s">
        <v>84</v>
      </c>
    </row>
    <row r="19" customFormat="false" ht="23.25" hidden="false" customHeight="true" outlineLevel="0" collapsed="false">
      <c r="A19" s="8" t="n">
        <v>15</v>
      </c>
      <c r="B19" s="8" t="s">
        <v>90</v>
      </c>
      <c r="C19" s="8" t="s">
        <v>104</v>
      </c>
      <c r="D19" s="8" t="s">
        <v>105</v>
      </c>
      <c r="E19" s="8" t="s">
        <v>106</v>
      </c>
      <c r="F19" s="8" t="s">
        <v>107</v>
      </c>
      <c r="G19" s="8" t="s">
        <v>42</v>
      </c>
    </row>
    <row r="20" customFormat="false" ht="34.5" hidden="false" customHeight="true" outlineLevel="0" collapsed="false">
      <c r="A20" s="8" t="n">
        <v>16</v>
      </c>
      <c r="B20" s="8" t="s">
        <v>108</v>
      </c>
      <c r="C20" s="8" t="s">
        <v>109</v>
      </c>
      <c r="D20" s="8" t="s">
        <v>110</v>
      </c>
      <c r="E20" s="8" t="s">
        <v>111</v>
      </c>
      <c r="F20" s="8" t="s">
        <v>112</v>
      </c>
      <c r="G20" s="8" t="s">
        <v>84</v>
      </c>
    </row>
    <row r="21" customFormat="false" ht="23.25" hidden="false" customHeight="true" outlineLevel="0" collapsed="false">
      <c r="A21" s="8" t="n">
        <v>17</v>
      </c>
      <c r="B21" s="8" t="s">
        <v>99</v>
      </c>
      <c r="C21" s="8" t="s">
        <v>113</v>
      </c>
      <c r="D21" s="8" t="s">
        <v>114</v>
      </c>
      <c r="E21" s="8" t="s">
        <v>115</v>
      </c>
      <c r="F21" s="8" t="s">
        <v>116</v>
      </c>
      <c r="G21" s="8" t="s">
        <v>84</v>
      </c>
    </row>
    <row r="22" customFormat="false" ht="23.25" hidden="false" customHeight="true" outlineLevel="0" collapsed="false">
      <c r="A22" s="8" t="n">
        <v>18</v>
      </c>
      <c r="B22" s="8" t="s">
        <v>99</v>
      </c>
      <c r="C22" s="8" t="s">
        <v>117</v>
      </c>
      <c r="D22" s="8" t="s">
        <v>118</v>
      </c>
      <c r="E22" s="8" t="s">
        <v>119</v>
      </c>
      <c r="F22" s="8" t="s">
        <v>120</v>
      </c>
      <c r="G22" s="8" t="s">
        <v>42</v>
      </c>
    </row>
    <row r="23" customFormat="false" ht="23.25" hidden="false" customHeight="true" outlineLevel="0" collapsed="false">
      <c r="A23" s="8" t="n">
        <v>19</v>
      </c>
      <c r="B23" s="8" t="s">
        <v>121</v>
      </c>
      <c r="C23" s="8" t="s">
        <v>122</v>
      </c>
      <c r="D23" s="8" t="s">
        <v>123</v>
      </c>
      <c r="E23" s="8" t="s">
        <v>124</v>
      </c>
      <c r="F23" s="8" t="s">
        <v>125</v>
      </c>
      <c r="G23" s="8" t="s">
        <v>42</v>
      </c>
    </row>
    <row r="24" customFormat="false" ht="23.25" hidden="false" customHeight="true" outlineLevel="0" collapsed="false">
      <c r="A24" s="8" t="n">
        <v>20</v>
      </c>
      <c r="B24" s="8" t="s">
        <v>126</v>
      </c>
      <c r="C24" s="8" t="s">
        <v>127</v>
      </c>
      <c r="D24" s="8" t="s">
        <v>128</v>
      </c>
      <c r="E24" s="8" t="s">
        <v>129</v>
      </c>
      <c r="F24" s="8"/>
      <c r="G24" s="8" t="s">
        <v>42</v>
      </c>
    </row>
    <row r="25" customFormat="false" ht="23.25" hidden="false" customHeight="true" outlineLevel="0" collapsed="false">
      <c r="A25" s="8" t="n">
        <v>21</v>
      </c>
      <c r="B25" s="8" t="s">
        <v>43</v>
      </c>
      <c r="C25" s="8" t="s">
        <v>130</v>
      </c>
      <c r="D25" s="8" t="s">
        <v>131</v>
      </c>
      <c r="E25" s="8" t="s">
        <v>132</v>
      </c>
      <c r="F25" s="8"/>
      <c r="G25" s="8" t="s">
        <v>42</v>
      </c>
    </row>
    <row r="26" customFormat="false" ht="23.25" hidden="false" customHeight="true" outlineLevel="0" collapsed="false">
      <c r="A26" s="8" t="n">
        <v>22</v>
      </c>
      <c r="B26" s="8" t="s">
        <v>133</v>
      </c>
      <c r="C26" s="8" t="s">
        <v>134</v>
      </c>
      <c r="D26" s="8" t="s">
        <v>135</v>
      </c>
      <c r="E26" s="8" t="s">
        <v>136</v>
      </c>
      <c r="F26" s="8" t="s">
        <v>137</v>
      </c>
      <c r="G26" s="8" t="s">
        <v>84</v>
      </c>
    </row>
    <row r="27" customFormat="false" ht="23.25" hidden="false" customHeight="true" outlineLevel="0" collapsed="false">
      <c r="A27" s="8" t="n">
        <v>23</v>
      </c>
      <c r="B27" s="8" t="s">
        <v>138</v>
      </c>
      <c r="C27" s="8" t="s">
        <v>139</v>
      </c>
      <c r="D27" s="8" t="s">
        <v>140</v>
      </c>
      <c r="E27" s="8" t="s">
        <v>141</v>
      </c>
      <c r="F27" s="8" t="s">
        <v>142</v>
      </c>
      <c r="G27" s="8" t="s">
        <v>42</v>
      </c>
    </row>
  </sheetData>
  <autoFilter ref="A4:G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9" t="s">
        <v>143</v>
      </c>
    </row>
    <row r="2" customFormat="false" ht="15" hidden="false" customHeight="false" outlineLevel="0" collapsed="false">
      <c r="A2" s="10" t="s">
        <v>144</v>
      </c>
    </row>
    <row r="4" customFormat="false" ht="23.85" hidden="false" customHeight="false" outlineLevel="0" collapsed="false">
      <c r="A4" s="7" t="s">
        <v>30</v>
      </c>
      <c r="B4" s="7" t="s">
        <v>31</v>
      </c>
      <c r="C4" s="7" t="s">
        <v>32</v>
      </c>
      <c r="D4" s="7" t="s">
        <v>145</v>
      </c>
      <c r="E4" s="11" t="s">
        <v>146</v>
      </c>
      <c r="F4" s="11" t="s">
        <v>147</v>
      </c>
      <c r="G4" s="12" t="s">
        <v>148</v>
      </c>
      <c r="H4" s="12" t="s">
        <v>149</v>
      </c>
    </row>
    <row r="5" customFormat="false" ht="23.85" hidden="false" customHeight="false" outlineLevel="0" collapsed="false">
      <c r="A5" s="8" t="n">
        <v>1</v>
      </c>
      <c r="B5" s="8" t="s">
        <v>37</v>
      </c>
      <c r="C5" s="8" t="s">
        <v>150</v>
      </c>
      <c r="D5" s="8" t="s">
        <v>151</v>
      </c>
      <c r="E5" s="8" t="s">
        <v>152</v>
      </c>
      <c r="F5" s="13" t="s">
        <v>42</v>
      </c>
      <c r="G5" s="8" t="s">
        <v>153</v>
      </c>
      <c r="H5" s="13" t="s">
        <v>42</v>
      </c>
    </row>
    <row r="6" customFormat="false" ht="15" hidden="false" customHeight="false" outlineLevel="0" collapsed="false">
      <c r="A6" s="8" t="n">
        <v>2</v>
      </c>
      <c r="B6" s="8" t="s">
        <v>43</v>
      </c>
      <c r="C6" s="8" t="s">
        <v>154</v>
      </c>
      <c r="D6" s="8" t="s">
        <v>155</v>
      </c>
      <c r="E6" s="8" t="s">
        <v>156</v>
      </c>
      <c r="F6" s="13" t="s">
        <v>42</v>
      </c>
      <c r="G6" s="8" t="s">
        <v>157</v>
      </c>
      <c r="H6" s="13" t="s">
        <v>42</v>
      </c>
    </row>
    <row r="7" customFormat="false" ht="15" hidden="false" customHeight="false" outlineLevel="0" collapsed="false">
      <c r="A7" s="8" t="n">
        <v>3</v>
      </c>
      <c r="B7" s="8" t="s">
        <v>48</v>
      </c>
      <c r="C7" s="8" t="s">
        <v>158</v>
      </c>
      <c r="D7" s="8" t="s">
        <v>50</v>
      </c>
      <c r="E7" s="8" t="s">
        <v>159</v>
      </c>
      <c r="F7" s="13" t="s">
        <v>42</v>
      </c>
      <c r="G7" s="8" t="s">
        <v>160</v>
      </c>
      <c r="H7" s="13" t="s">
        <v>42</v>
      </c>
    </row>
    <row r="8" customFormat="false" ht="15" hidden="false" customHeight="false" outlineLevel="0" collapsed="false">
      <c r="A8" s="8" t="n">
        <v>4</v>
      </c>
      <c r="B8" s="8" t="s">
        <v>48</v>
      </c>
      <c r="C8" s="8" t="s">
        <v>161</v>
      </c>
      <c r="D8" s="8" t="s">
        <v>162</v>
      </c>
      <c r="E8" s="8" t="s">
        <v>163</v>
      </c>
      <c r="F8" s="13" t="s">
        <v>42</v>
      </c>
      <c r="G8" s="8" t="s">
        <v>164</v>
      </c>
      <c r="H8" s="13" t="s">
        <v>42</v>
      </c>
    </row>
    <row r="9" customFormat="false" ht="23.85" hidden="false" customHeight="false" outlineLevel="0" collapsed="false">
      <c r="A9" s="8" t="n">
        <v>5</v>
      </c>
      <c r="B9" s="8" t="s">
        <v>57</v>
      </c>
      <c r="C9" s="8" t="s">
        <v>58</v>
      </c>
      <c r="D9" s="8" t="s">
        <v>165</v>
      </c>
      <c r="E9" s="8" t="s">
        <v>166</v>
      </c>
      <c r="F9" s="14" t="s">
        <v>84</v>
      </c>
      <c r="G9" s="8" t="s">
        <v>167</v>
      </c>
      <c r="H9" s="13" t="s">
        <v>42</v>
      </c>
    </row>
    <row r="10" customFormat="false" ht="23.85" hidden="false" customHeight="false" outlineLevel="0" collapsed="false">
      <c r="A10" s="8" t="n">
        <v>6</v>
      </c>
      <c r="B10" s="8" t="s">
        <v>57</v>
      </c>
      <c r="C10" s="8" t="s">
        <v>62</v>
      </c>
      <c r="D10" s="8" t="s">
        <v>63</v>
      </c>
      <c r="E10" s="8" t="s">
        <v>168</v>
      </c>
      <c r="F10" s="14" t="s">
        <v>84</v>
      </c>
      <c r="G10" s="8" t="s">
        <v>169</v>
      </c>
      <c r="H10" s="13" t="s">
        <v>42</v>
      </c>
    </row>
    <row r="11" customFormat="false" ht="23.85" hidden="false" customHeight="false" outlineLevel="0" collapsed="false">
      <c r="A11" s="8" t="n">
        <v>7</v>
      </c>
      <c r="B11" s="8" t="s">
        <v>66</v>
      </c>
      <c r="C11" s="8" t="s">
        <v>170</v>
      </c>
      <c r="D11" s="8" t="s">
        <v>171</v>
      </c>
      <c r="E11" s="8" t="s">
        <v>172</v>
      </c>
      <c r="F11" s="15" t="s">
        <v>173</v>
      </c>
      <c r="G11" s="8" t="s">
        <v>174</v>
      </c>
      <c r="H11" s="13" t="s">
        <v>42</v>
      </c>
    </row>
    <row r="12" customFormat="false" ht="15" hidden="false" customHeight="false" outlineLevel="0" collapsed="false">
      <c r="A12" s="8" t="n">
        <v>8</v>
      </c>
      <c r="B12" s="8" t="s">
        <v>66</v>
      </c>
      <c r="C12" s="8" t="s">
        <v>175</v>
      </c>
      <c r="D12" s="8" t="s">
        <v>176</v>
      </c>
      <c r="E12" s="8" t="s">
        <v>177</v>
      </c>
      <c r="F12" s="14" t="s">
        <v>84</v>
      </c>
      <c r="G12" s="8" t="s">
        <v>178</v>
      </c>
      <c r="H12" s="13" t="s">
        <v>42</v>
      </c>
    </row>
    <row r="13" customFormat="false" ht="15" hidden="false" customHeight="false" outlineLevel="0" collapsed="false">
      <c r="A13" s="8" t="n">
        <v>9</v>
      </c>
      <c r="B13" s="8" t="s">
        <v>66</v>
      </c>
      <c r="C13" s="8" t="s">
        <v>179</v>
      </c>
      <c r="D13" s="8" t="s">
        <v>180</v>
      </c>
      <c r="E13" s="8" t="s">
        <v>181</v>
      </c>
      <c r="F13" s="14" t="s">
        <v>84</v>
      </c>
      <c r="G13" s="8" t="s">
        <v>182</v>
      </c>
      <c r="H13" s="13" t="s">
        <v>42</v>
      </c>
    </row>
    <row r="14" customFormat="false" ht="23.85" hidden="false" customHeight="false" outlineLevel="0" collapsed="false">
      <c r="A14" s="8" t="n">
        <v>10</v>
      </c>
      <c r="B14" s="8" t="s">
        <v>79</v>
      </c>
      <c r="C14" s="8" t="s">
        <v>80</v>
      </c>
      <c r="D14" s="8" t="s">
        <v>81</v>
      </c>
      <c r="E14" s="8" t="s">
        <v>183</v>
      </c>
      <c r="F14" s="15" t="s">
        <v>173</v>
      </c>
      <c r="G14" s="8" t="s">
        <v>184</v>
      </c>
      <c r="H14" s="14" t="s">
        <v>84</v>
      </c>
    </row>
    <row r="15" customFormat="false" ht="23.85" hidden="false" customHeight="false" outlineLevel="0" collapsed="false">
      <c r="A15" s="8" t="n">
        <v>11</v>
      </c>
      <c r="B15" s="8" t="s">
        <v>85</v>
      </c>
      <c r="C15" s="8" t="s">
        <v>185</v>
      </c>
      <c r="D15" s="8" t="s">
        <v>87</v>
      </c>
      <c r="E15" s="8" t="s">
        <v>186</v>
      </c>
      <c r="F15" s="14" t="s">
        <v>84</v>
      </c>
      <c r="G15" s="8" t="s">
        <v>187</v>
      </c>
      <c r="H15" s="13" t="s">
        <v>42</v>
      </c>
    </row>
    <row r="16" customFormat="false" ht="23.85" hidden="false" customHeight="false" outlineLevel="0" collapsed="false">
      <c r="A16" s="8" t="n">
        <v>12</v>
      </c>
      <c r="B16" s="8" t="s">
        <v>90</v>
      </c>
      <c r="C16" s="8" t="s">
        <v>188</v>
      </c>
      <c r="D16" s="8" t="s">
        <v>189</v>
      </c>
      <c r="E16" s="8" t="s">
        <v>190</v>
      </c>
      <c r="F16" s="13" t="s">
        <v>42</v>
      </c>
      <c r="G16" s="8" t="s">
        <v>191</v>
      </c>
      <c r="H16" s="13" t="s">
        <v>42</v>
      </c>
    </row>
    <row r="17" customFormat="false" ht="15" hidden="false" customHeight="false" outlineLevel="0" collapsed="false">
      <c r="A17" s="8" t="n">
        <v>13</v>
      </c>
      <c r="B17" s="8" t="s">
        <v>90</v>
      </c>
      <c r="C17" s="8" t="s">
        <v>192</v>
      </c>
      <c r="D17" s="8" t="s">
        <v>96</v>
      </c>
      <c r="E17" s="8" t="s">
        <v>193</v>
      </c>
      <c r="F17" s="13" t="s">
        <v>42</v>
      </c>
      <c r="G17" s="8" t="s">
        <v>194</v>
      </c>
      <c r="H17" s="13" t="s">
        <v>42</v>
      </c>
    </row>
    <row r="18" customFormat="false" ht="23.85" hidden="false" customHeight="false" outlineLevel="0" collapsed="false">
      <c r="A18" s="8" t="n">
        <v>14</v>
      </c>
      <c r="B18" s="8" t="s">
        <v>99</v>
      </c>
      <c r="C18" s="8" t="s">
        <v>195</v>
      </c>
      <c r="D18" s="8" t="s">
        <v>101</v>
      </c>
      <c r="E18" s="8" t="s">
        <v>196</v>
      </c>
      <c r="F18" s="14" t="s">
        <v>84</v>
      </c>
      <c r="G18" s="8" t="s">
        <v>197</v>
      </c>
      <c r="H18" s="14" t="s">
        <v>84</v>
      </c>
    </row>
    <row r="19" customFormat="false" ht="23.85" hidden="false" customHeight="false" outlineLevel="0" collapsed="false">
      <c r="A19" s="8" t="n">
        <v>15</v>
      </c>
      <c r="B19" s="8" t="s">
        <v>90</v>
      </c>
      <c r="C19" s="8" t="s">
        <v>198</v>
      </c>
      <c r="D19" s="8" t="s">
        <v>199</v>
      </c>
      <c r="E19" s="8" t="s">
        <v>200</v>
      </c>
      <c r="F19" s="14" t="s">
        <v>84</v>
      </c>
      <c r="G19" s="8" t="s">
        <v>201</v>
      </c>
      <c r="H19" s="13" t="s">
        <v>42</v>
      </c>
    </row>
    <row r="20" customFormat="false" ht="23.85" hidden="false" customHeight="false" outlineLevel="0" collapsed="false">
      <c r="A20" s="8" t="n">
        <v>16</v>
      </c>
      <c r="B20" s="8" t="s">
        <v>108</v>
      </c>
      <c r="C20" s="8" t="s">
        <v>202</v>
      </c>
      <c r="D20" s="8" t="s">
        <v>203</v>
      </c>
      <c r="E20" s="8" t="s">
        <v>204</v>
      </c>
      <c r="F20" s="14" t="s">
        <v>84</v>
      </c>
      <c r="G20" s="8" t="s">
        <v>205</v>
      </c>
      <c r="H20" s="14" t="s">
        <v>84</v>
      </c>
    </row>
    <row r="21" customFormat="false" ht="15" hidden="false" customHeight="false" outlineLevel="0" collapsed="false">
      <c r="A21" s="8" t="n">
        <v>17</v>
      </c>
      <c r="B21" s="8" t="s">
        <v>99</v>
      </c>
      <c r="C21" s="8" t="s">
        <v>206</v>
      </c>
      <c r="D21" s="8" t="s">
        <v>207</v>
      </c>
      <c r="E21" s="8" t="s">
        <v>208</v>
      </c>
      <c r="F21" s="14" t="s">
        <v>84</v>
      </c>
      <c r="G21" s="8" t="s">
        <v>209</v>
      </c>
      <c r="H21" s="14" t="s">
        <v>84</v>
      </c>
    </row>
    <row r="22" customFormat="false" ht="15" hidden="false" customHeight="false" outlineLevel="0" collapsed="false">
      <c r="A22" s="8" t="n">
        <v>18</v>
      </c>
      <c r="B22" s="8" t="s">
        <v>99</v>
      </c>
      <c r="C22" s="8" t="s">
        <v>210</v>
      </c>
      <c r="D22" s="8" t="s">
        <v>118</v>
      </c>
      <c r="E22" s="8" t="s">
        <v>211</v>
      </c>
      <c r="F22" s="13" t="s">
        <v>42</v>
      </c>
      <c r="G22" s="8" t="s">
        <v>119</v>
      </c>
      <c r="H22" s="13" t="s">
        <v>42</v>
      </c>
    </row>
    <row r="23" customFormat="false" ht="15" hidden="false" customHeight="false" outlineLevel="0" collapsed="false">
      <c r="A23" s="8" t="n">
        <v>19</v>
      </c>
      <c r="B23" s="8" t="s">
        <v>121</v>
      </c>
      <c r="C23" s="8" t="s">
        <v>212</v>
      </c>
      <c r="D23" s="8" t="s">
        <v>123</v>
      </c>
      <c r="E23" s="8" t="s">
        <v>213</v>
      </c>
      <c r="F23" s="13" t="s">
        <v>42</v>
      </c>
      <c r="G23" s="8" t="s">
        <v>214</v>
      </c>
      <c r="H23" s="13" t="s">
        <v>42</v>
      </c>
    </row>
    <row r="24" customFormat="false" ht="23.85" hidden="false" customHeight="false" outlineLevel="0" collapsed="false">
      <c r="A24" s="8" t="n">
        <v>20</v>
      </c>
      <c r="B24" s="8" t="s">
        <v>126</v>
      </c>
      <c r="C24" s="8" t="s">
        <v>215</v>
      </c>
      <c r="D24" s="8" t="s">
        <v>128</v>
      </c>
      <c r="E24" s="8" t="s">
        <v>216</v>
      </c>
      <c r="F24" s="13" t="s">
        <v>42</v>
      </c>
      <c r="G24" s="8" t="s">
        <v>217</v>
      </c>
      <c r="H24" s="13" t="s">
        <v>42</v>
      </c>
    </row>
    <row r="25" customFormat="false" ht="23.85" hidden="false" customHeight="false" outlineLevel="0" collapsed="false">
      <c r="A25" s="8" t="n">
        <v>21</v>
      </c>
      <c r="B25" s="8" t="s">
        <v>43</v>
      </c>
      <c r="C25" s="8" t="s">
        <v>218</v>
      </c>
      <c r="D25" s="8" t="s">
        <v>131</v>
      </c>
      <c r="E25" s="8" t="s">
        <v>219</v>
      </c>
      <c r="F25" s="13" t="s">
        <v>42</v>
      </c>
      <c r="G25" s="8" t="s">
        <v>220</v>
      </c>
      <c r="H25" s="13" t="s">
        <v>42</v>
      </c>
    </row>
    <row r="26" customFormat="false" ht="23.85" hidden="false" customHeight="false" outlineLevel="0" collapsed="false">
      <c r="A26" s="8" t="n">
        <v>22</v>
      </c>
      <c r="B26" s="8" t="s">
        <v>133</v>
      </c>
      <c r="C26" s="8" t="s">
        <v>134</v>
      </c>
      <c r="D26" s="8" t="s">
        <v>221</v>
      </c>
      <c r="E26" s="8" t="s">
        <v>222</v>
      </c>
      <c r="F26" s="14" t="s">
        <v>84</v>
      </c>
      <c r="G26" s="8" t="s">
        <v>223</v>
      </c>
      <c r="H26" s="14" t="s">
        <v>84</v>
      </c>
    </row>
    <row r="27" customFormat="false" ht="23.85" hidden="false" customHeight="false" outlineLevel="0" collapsed="false">
      <c r="A27" s="8" t="n">
        <v>23</v>
      </c>
      <c r="B27" s="8" t="s">
        <v>138</v>
      </c>
      <c r="C27" s="8" t="s">
        <v>139</v>
      </c>
      <c r="D27" s="8" t="s">
        <v>224</v>
      </c>
      <c r="E27" s="8" t="s">
        <v>225</v>
      </c>
      <c r="F27" s="13" t="s">
        <v>42</v>
      </c>
      <c r="G27" s="8" t="s">
        <v>226</v>
      </c>
      <c r="H27" s="13" t="s">
        <v>42</v>
      </c>
    </row>
    <row r="29" customFormat="false" ht="15" hidden="false" customHeight="false" outlineLevel="0" collapsed="false">
      <c r="D29" s="16" t="s">
        <v>227</v>
      </c>
    </row>
    <row r="30" customFormat="false" ht="15" hidden="false" customHeight="false" outlineLevel="0" collapsed="false">
      <c r="D30" s="17" t="s">
        <v>228</v>
      </c>
      <c r="F30" s="18" t="n">
        <f aca="false">COUNTIF(F5:F27,"L")</f>
        <v>11</v>
      </c>
      <c r="H30" s="18" t="n">
        <f aca="false">COUNTIF(H5:H27,"L")</f>
        <v>18</v>
      </c>
    </row>
    <row r="31" customFormat="false" ht="15" hidden="false" customHeight="false" outlineLevel="0" collapsed="false">
      <c r="D31" s="17" t="s">
        <v>229</v>
      </c>
      <c r="F31" s="19" t="n">
        <f aca="false">COUNTIF(F5:F27,"M")</f>
        <v>10</v>
      </c>
      <c r="H31" s="19" t="n">
        <f aca="false">COUNTIF(H5:H27,"M")</f>
        <v>5</v>
      </c>
    </row>
    <row r="32" customFormat="false" ht="15" hidden="false" customHeight="false" outlineLevel="0" collapsed="false">
      <c r="D32" s="17" t="s">
        <v>230</v>
      </c>
      <c r="F32" s="20" t="n">
        <f aca="false">COUNTIF(F5:F27,"H")</f>
        <v>2</v>
      </c>
      <c r="H32" s="20" t="n">
        <f aca="false">COUNTIF(H5:H27,"H")</f>
        <v>0</v>
      </c>
    </row>
    <row r="34" customFormat="false" ht="15" hidden="false" customHeight="false" outlineLevel="0" collapsed="false">
      <c r="A34" s="21" t="s">
        <v>231</v>
      </c>
    </row>
  </sheetData>
  <autoFilter ref="A4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9" min="8" style="1" width="9"/>
    <col collapsed="false" customWidth="true" hidden="false" outlineLevel="0" max="12" min="10" style="1" width="14"/>
    <col collapsed="false" customWidth="true" hidden="false" outlineLevel="0" max="13" min="13" style="1" width="50"/>
  </cols>
  <sheetData>
    <row r="1" customFormat="false" ht="17.2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3" customFormat="false" ht="15" hidden="false" customHeight="true" outlineLevel="0" collapsed="false">
      <c r="A3" s="4" t="s">
        <v>234</v>
      </c>
      <c r="B3" s="22" t="s">
        <v>235</v>
      </c>
    </row>
    <row r="5" customFormat="false" ht="23.25" hidden="false" customHeight="true" outlineLevel="0" collapsed="false">
      <c r="A5" s="7" t="s">
        <v>236</v>
      </c>
      <c r="B5" s="7" t="s">
        <v>237</v>
      </c>
      <c r="C5" s="7" t="s">
        <v>238</v>
      </c>
      <c r="D5" s="7" t="s">
        <v>239</v>
      </c>
      <c r="E5" s="7" t="s">
        <v>240</v>
      </c>
      <c r="F5" s="7" t="s">
        <v>241</v>
      </c>
      <c r="G5" s="7" t="s">
        <v>242</v>
      </c>
      <c r="H5" s="7" t="s">
        <v>243</v>
      </c>
      <c r="I5" s="7" t="s">
        <v>244</v>
      </c>
      <c r="J5" s="7" t="s">
        <v>245</v>
      </c>
      <c r="K5" s="7" t="s">
        <v>246</v>
      </c>
      <c r="L5" s="7" t="s">
        <v>247</v>
      </c>
      <c r="M5" s="7" t="s">
        <v>248</v>
      </c>
    </row>
    <row r="6" customFormat="false" ht="15" hidden="false" customHeight="true" outlineLevel="0" collapsed="false">
      <c r="A6" s="8" t="n">
        <v>1</v>
      </c>
      <c r="B6" s="8" t="s">
        <v>249</v>
      </c>
      <c r="C6" s="8" t="s">
        <v>250</v>
      </c>
      <c r="D6" s="8" t="s">
        <v>251</v>
      </c>
      <c r="E6" s="8" t="s">
        <v>252</v>
      </c>
      <c r="F6" s="8" t="s">
        <v>253</v>
      </c>
      <c r="G6" s="8" t="s">
        <v>254</v>
      </c>
      <c r="H6" s="23" t="n">
        <v>1</v>
      </c>
      <c r="I6" s="23" t="n">
        <v>2</v>
      </c>
      <c r="J6" s="24" t="n">
        <f aca="false">(8*'Price Sources'!$D$7+32*'Price Sources'!$D$8)*'Price Sources'!$B$3</f>
        <v>551.296</v>
      </c>
      <c r="K6" s="25" t="n">
        <f aca="false">(H6+I6)*J6</f>
        <v>1653.888</v>
      </c>
      <c r="L6" s="25" t="n">
        <f aca="false">K6*12</f>
        <v>19846.656</v>
      </c>
      <c r="M6" s="8" t="s">
        <v>255</v>
      </c>
    </row>
    <row r="7" customFormat="false" ht="23.25" hidden="false" customHeight="true" outlineLevel="0" collapsed="false">
      <c r="A7" s="8" t="n">
        <v>2</v>
      </c>
      <c r="B7" s="8" t="s">
        <v>249</v>
      </c>
      <c r="C7" s="8" t="s">
        <v>256</v>
      </c>
      <c r="D7" s="8" t="s">
        <v>257</v>
      </c>
      <c r="E7" s="8" t="s">
        <v>258</v>
      </c>
      <c r="F7" s="8" t="s">
        <v>253</v>
      </c>
      <c r="G7" s="8" t="s">
        <v>259</v>
      </c>
      <c r="H7" s="23" t="n">
        <v>1</v>
      </c>
      <c r="I7" s="23" t="n">
        <v>1</v>
      </c>
      <c r="J7" s="24" t="n">
        <f aca="false">'Price Sources'!$D$9*'Price Sources'!$B$3</f>
        <v>64.24</v>
      </c>
      <c r="K7" s="25" t="n">
        <f aca="false">(H7+I7)*J7</f>
        <v>128.48</v>
      </c>
      <c r="L7" s="25" t="n">
        <f aca="false">K7*12</f>
        <v>1541.76</v>
      </c>
      <c r="M7" s="8"/>
    </row>
    <row r="8" customFormat="false" ht="23.25" hidden="false" customHeight="true" outlineLevel="0" collapsed="false">
      <c r="A8" s="8" t="n">
        <v>3</v>
      </c>
      <c r="B8" s="8" t="s">
        <v>249</v>
      </c>
      <c r="C8" s="8" t="s">
        <v>260</v>
      </c>
      <c r="D8" s="8" t="s">
        <v>261</v>
      </c>
      <c r="E8" s="8" t="s">
        <v>262</v>
      </c>
      <c r="F8" s="8" t="s">
        <v>263</v>
      </c>
      <c r="G8" s="8" t="s">
        <v>264</v>
      </c>
      <c r="H8" s="23" t="n">
        <v>0</v>
      </c>
      <c r="I8" s="23" t="n">
        <v>0</v>
      </c>
      <c r="J8" s="26"/>
      <c r="K8" s="25" t="n">
        <f aca="false">(H8+I8)*J8</f>
        <v>0</v>
      </c>
      <c r="L8" s="25" t="n">
        <f aca="false">K8*12</f>
        <v>0</v>
      </c>
      <c r="M8" s="8" t="s">
        <v>265</v>
      </c>
    </row>
    <row r="9" customFormat="false" ht="23.25" hidden="false" customHeight="true" outlineLevel="0" collapsed="false">
      <c r="A9" s="8" t="n">
        <v>4</v>
      </c>
      <c r="B9" s="8" t="s">
        <v>266</v>
      </c>
      <c r="C9" s="8" t="s">
        <v>267</v>
      </c>
      <c r="D9" s="8" t="s">
        <v>268</v>
      </c>
      <c r="E9" s="8" t="s">
        <v>269</v>
      </c>
      <c r="F9" s="8" t="s">
        <v>253</v>
      </c>
      <c r="G9" s="8" t="s">
        <v>270</v>
      </c>
      <c r="H9" s="23" t="n">
        <v>1</v>
      </c>
      <c r="I9" s="23" t="n">
        <v>0</v>
      </c>
      <c r="J9" s="24" t="n">
        <f aca="false">'Price Sources'!$D$11*'Price Sources'!$B$3</f>
        <v>102.273</v>
      </c>
      <c r="K9" s="25" t="n">
        <f aca="false">(H9+I9)*J9</f>
        <v>102.273</v>
      </c>
      <c r="L9" s="25" t="n">
        <f aca="false">K9*12</f>
        <v>1227.276</v>
      </c>
      <c r="M9" s="8"/>
    </row>
    <row r="10" customFormat="false" ht="23.25" hidden="false" customHeight="true" outlineLevel="0" collapsed="false">
      <c r="A10" s="8" t="n">
        <v>5</v>
      </c>
      <c r="B10" s="8" t="s">
        <v>266</v>
      </c>
      <c r="C10" s="8" t="s">
        <v>271</v>
      </c>
      <c r="D10" s="8" t="s">
        <v>272</v>
      </c>
      <c r="E10" s="8" t="s">
        <v>269</v>
      </c>
      <c r="F10" s="8" t="s">
        <v>253</v>
      </c>
      <c r="G10" s="8" t="s">
        <v>273</v>
      </c>
      <c r="H10" s="23" t="n">
        <v>0</v>
      </c>
      <c r="I10" s="23" t="n">
        <v>1</v>
      </c>
      <c r="J10" s="24" t="n">
        <f aca="false">'Price Sources'!$D$10*'Price Sources'!$B$3</f>
        <v>272.363</v>
      </c>
      <c r="K10" s="25" t="n">
        <f aca="false">(H10+I10)*J10</f>
        <v>272.363</v>
      </c>
      <c r="L10" s="25" t="n">
        <f aca="false">K10*12</f>
        <v>3268.356</v>
      </c>
      <c r="M10" s="8"/>
    </row>
    <row r="11" customFormat="false" ht="23.25" hidden="false" customHeight="true" outlineLevel="0" collapsed="false">
      <c r="A11" s="8" t="n">
        <v>6</v>
      </c>
      <c r="B11" s="8" t="s">
        <v>266</v>
      </c>
      <c r="C11" s="8" t="s">
        <v>274</v>
      </c>
      <c r="D11" s="8" t="s">
        <v>275</v>
      </c>
      <c r="E11" s="8" t="s">
        <v>269</v>
      </c>
      <c r="F11" s="8" t="s">
        <v>263</v>
      </c>
      <c r="G11" s="8" t="s">
        <v>276</v>
      </c>
      <c r="H11" s="23" t="n">
        <v>0</v>
      </c>
      <c r="I11" s="23" t="n">
        <v>1</v>
      </c>
      <c r="J11" s="24" t="n">
        <f aca="false">'Price Sources'!$D$10*'Price Sources'!$B$3</f>
        <v>272.363</v>
      </c>
      <c r="K11" s="25" t="n">
        <f aca="false">(H11+I11)*J11</f>
        <v>272.363</v>
      </c>
      <c r="L11" s="25" t="n">
        <f aca="false">K11*12</f>
        <v>3268.356</v>
      </c>
      <c r="M11" s="8" t="s">
        <v>277</v>
      </c>
    </row>
    <row r="12" customFormat="false" ht="15" hidden="false" customHeight="true" outlineLevel="0" collapsed="false">
      <c r="A12" s="8" t="n">
        <v>7</v>
      </c>
      <c r="B12" s="8" t="s">
        <v>266</v>
      </c>
      <c r="C12" s="8" t="s">
        <v>278</v>
      </c>
      <c r="D12" s="8" t="s">
        <v>279</v>
      </c>
      <c r="E12" s="8" t="s">
        <v>280</v>
      </c>
      <c r="F12" s="8" t="s">
        <v>253</v>
      </c>
      <c r="G12" s="8" t="s">
        <v>281</v>
      </c>
      <c r="H12" s="23" t="n">
        <v>64</v>
      </c>
      <c r="I12" s="23" t="n">
        <v>256</v>
      </c>
      <c r="J12" s="24" t="n">
        <f aca="false">'Price Sources'!$D$12</f>
        <v>0.1205</v>
      </c>
      <c r="K12" s="25" t="n">
        <f aca="false">(H12+I12)*J12</f>
        <v>38.56</v>
      </c>
      <c r="L12" s="25" t="n">
        <f aca="false">K12*12</f>
        <v>462.72</v>
      </c>
      <c r="M12" s="8" t="s">
        <v>282</v>
      </c>
    </row>
    <row r="13" customFormat="false" ht="23.25" hidden="false" customHeight="true" outlineLevel="0" collapsed="false">
      <c r="A13" s="8" t="n">
        <v>8</v>
      </c>
      <c r="B13" s="8" t="s">
        <v>283</v>
      </c>
      <c r="C13" s="8" t="s">
        <v>284</v>
      </c>
      <c r="D13" s="8" t="s">
        <v>285</v>
      </c>
      <c r="E13" s="8" t="s">
        <v>286</v>
      </c>
      <c r="F13" s="8" t="s">
        <v>253</v>
      </c>
      <c r="G13" s="8" t="s">
        <v>287</v>
      </c>
      <c r="H13" s="23" t="n">
        <v>0.1</v>
      </c>
      <c r="I13" s="23" t="n">
        <v>1</v>
      </c>
      <c r="J13" s="24" t="n">
        <f aca="false">'LLM Usage'!$H$21</f>
        <v>409.332</v>
      </c>
      <c r="K13" s="25" t="n">
        <f aca="false">(H13+I13)*J13</f>
        <v>450.2652</v>
      </c>
      <c r="L13" s="25" t="n">
        <f aca="false">K13*12</f>
        <v>5403.1824</v>
      </c>
      <c r="M13" s="8" t="s">
        <v>288</v>
      </c>
    </row>
    <row r="14" customFormat="false" ht="15" hidden="false" customHeight="true" outlineLevel="0" collapsed="false">
      <c r="A14" s="8" t="n">
        <v>9</v>
      </c>
      <c r="B14" s="8" t="s">
        <v>283</v>
      </c>
      <c r="C14" s="8" t="s">
        <v>289</v>
      </c>
      <c r="D14" s="8" t="s">
        <v>290</v>
      </c>
      <c r="E14" s="8" t="s">
        <v>291</v>
      </c>
      <c r="F14" s="8" t="s">
        <v>263</v>
      </c>
      <c r="G14" s="8" t="s">
        <v>292</v>
      </c>
      <c r="H14" s="23" t="n">
        <v>0</v>
      </c>
      <c r="I14" s="23" t="n">
        <v>0</v>
      </c>
      <c r="J14" s="24" t="n">
        <f aca="false">'Price Sources'!$D$22*1000</f>
        <v>0.1</v>
      </c>
      <c r="K14" s="25" t="n">
        <f aca="false">(H14+I14)*J14</f>
        <v>0</v>
      </c>
      <c r="L14" s="25" t="n">
        <f aca="false">K14*12</f>
        <v>0</v>
      </c>
      <c r="M14" s="8" t="s">
        <v>293</v>
      </c>
    </row>
    <row r="15" customFormat="false" ht="15" hidden="false" customHeight="true" outlineLevel="0" collapsed="false">
      <c r="A15" s="8" t="n">
        <v>10</v>
      </c>
      <c r="B15" s="8" t="s">
        <v>283</v>
      </c>
      <c r="C15" s="8" t="s">
        <v>294</v>
      </c>
      <c r="D15" s="8" t="s">
        <v>295</v>
      </c>
      <c r="E15" s="8" t="s">
        <v>296</v>
      </c>
      <c r="F15" s="8" t="s">
        <v>253</v>
      </c>
      <c r="G15" s="8" t="s">
        <v>297</v>
      </c>
      <c r="H15" s="23" t="n">
        <v>1</v>
      </c>
      <c r="I15" s="23" t="n">
        <v>5</v>
      </c>
      <c r="J15" s="24" t="n">
        <f aca="false">'Price Sources'!$D$20</f>
        <v>0.33</v>
      </c>
      <c r="K15" s="25" t="n">
        <f aca="false">(H15+I15)*J15</f>
        <v>1.98</v>
      </c>
      <c r="L15" s="25" t="n">
        <f aca="false">K15*12</f>
        <v>23.76</v>
      </c>
      <c r="M15" s="8" t="s">
        <v>298</v>
      </c>
    </row>
    <row r="16" customFormat="false" ht="15" hidden="false" customHeight="true" outlineLevel="0" collapsed="false">
      <c r="A16" s="8" t="n">
        <v>11</v>
      </c>
      <c r="B16" s="8" t="s">
        <v>283</v>
      </c>
      <c r="C16" s="8" t="s">
        <v>299</v>
      </c>
      <c r="D16" s="8" t="s">
        <v>300</v>
      </c>
      <c r="E16" s="8" t="s">
        <v>296</v>
      </c>
      <c r="F16" s="8" t="s">
        <v>263</v>
      </c>
      <c r="G16" s="8" t="s">
        <v>301</v>
      </c>
      <c r="H16" s="23" t="n">
        <v>0</v>
      </c>
      <c r="I16" s="23" t="n">
        <v>0</v>
      </c>
      <c r="J16" s="26"/>
      <c r="K16" s="25" t="n">
        <f aca="false">(H16+I16)*J16</f>
        <v>0</v>
      </c>
      <c r="L16" s="25" t="n">
        <f aca="false">K16*12</f>
        <v>0</v>
      </c>
      <c r="M16" s="8" t="s">
        <v>302</v>
      </c>
    </row>
    <row r="17" customFormat="false" ht="15" hidden="false" customHeight="true" outlineLevel="0" collapsed="false">
      <c r="A17" s="8" t="n">
        <v>12</v>
      </c>
      <c r="B17" s="8" t="s">
        <v>283</v>
      </c>
      <c r="C17" s="8" t="s">
        <v>303</v>
      </c>
      <c r="D17" s="8" t="s">
        <v>304</v>
      </c>
      <c r="E17" s="8" t="s">
        <v>305</v>
      </c>
      <c r="F17" s="8" t="s">
        <v>263</v>
      </c>
      <c r="G17" s="8" t="s">
        <v>306</v>
      </c>
      <c r="H17" s="23" t="n">
        <v>0</v>
      </c>
      <c r="I17" s="23" t="n">
        <v>0</v>
      </c>
      <c r="J17" s="26"/>
      <c r="K17" s="25" t="n">
        <f aca="false">(H17+I17)*J17</f>
        <v>0</v>
      </c>
      <c r="L17" s="25" t="n">
        <f aca="false">K17*12</f>
        <v>0</v>
      </c>
      <c r="M17" s="8" t="s">
        <v>307</v>
      </c>
    </row>
    <row r="18" customFormat="false" ht="23.25" hidden="false" customHeight="true" outlineLevel="0" collapsed="false">
      <c r="A18" s="8" t="n">
        <v>13</v>
      </c>
      <c r="B18" s="8" t="s">
        <v>85</v>
      </c>
      <c r="C18" s="8" t="s">
        <v>308</v>
      </c>
      <c r="D18" s="8" t="s">
        <v>309</v>
      </c>
      <c r="E18" s="8" t="s">
        <v>310</v>
      </c>
      <c r="F18" s="8" t="s">
        <v>253</v>
      </c>
      <c r="G18" s="8" t="s">
        <v>311</v>
      </c>
      <c r="H18" s="23" t="n">
        <v>50</v>
      </c>
      <c r="I18" s="23" t="n">
        <v>100</v>
      </c>
      <c r="J18" s="24" t="n">
        <f aca="false">'Price Sources'!$D$13</f>
        <v>0.2112</v>
      </c>
      <c r="K18" s="25" t="n">
        <f aca="false">(H18+I18)*J18</f>
        <v>31.68</v>
      </c>
      <c r="L18" s="25" t="n">
        <f aca="false">K18*12</f>
        <v>380.16</v>
      </c>
      <c r="M18" s="8"/>
    </row>
    <row r="19" customFormat="false" ht="15" hidden="false" customHeight="true" outlineLevel="0" collapsed="false">
      <c r="A19" s="8" t="n">
        <v>14</v>
      </c>
      <c r="B19" s="8" t="s">
        <v>85</v>
      </c>
      <c r="C19" s="8" t="s">
        <v>312</v>
      </c>
      <c r="D19" s="8" t="s">
        <v>313</v>
      </c>
      <c r="E19" s="8" t="s">
        <v>280</v>
      </c>
      <c r="F19" s="8" t="s">
        <v>253</v>
      </c>
      <c r="G19" s="8" t="s">
        <v>314</v>
      </c>
      <c r="H19" s="23" t="n">
        <v>25</v>
      </c>
      <c r="I19" s="23" t="n">
        <v>100</v>
      </c>
      <c r="J19" s="24" t="n">
        <f aca="false">'Price Sources'!$D$14</f>
        <v>0.0211</v>
      </c>
      <c r="K19" s="25" t="n">
        <f aca="false">(H19+I19)*J19</f>
        <v>2.6375</v>
      </c>
      <c r="L19" s="25" t="n">
        <f aca="false">K19*12</f>
        <v>31.65</v>
      </c>
      <c r="M19" s="8" t="s">
        <v>315</v>
      </c>
    </row>
    <row r="20" customFormat="false" ht="15" hidden="false" customHeight="true" outlineLevel="0" collapsed="false">
      <c r="A20" s="8" t="n">
        <v>15</v>
      </c>
      <c r="B20" s="8" t="s">
        <v>316</v>
      </c>
      <c r="C20" s="8" t="s">
        <v>317</v>
      </c>
      <c r="D20" s="8" t="s">
        <v>295</v>
      </c>
      <c r="E20" s="8" t="s">
        <v>316</v>
      </c>
      <c r="F20" s="8" t="s">
        <v>253</v>
      </c>
      <c r="G20" s="8" t="s">
        <v>318</v>
      </c>
      <c r="H20" s="23" t="n">
        <v>1</v>
      </c>
      <c r="I20" s="23" t="n">
        <v>0</v>
      </c>
      <c r="J20" s="24" t="n">
        <f aca="false">'Price Sources'!$D$15*'Price Sources'!$B$3/24</f>
        <v>17.8424166666667</v>
      </c>
      <c r="K20" s="25" t="n">
        <f aca="false">(H20+I20)*J20</f>
        <v>17.8424166666667</v>
      </c>
      <c r="L20" s="25" t="n">
        <f aca="false">K20*12</f>
        <v>214.109</v>
      </c>
      <c r="M20" s="8" t="s">
        <v>319</v>
      </c>
    </row>
    <row r="21" customFormat="false" ht="15" hidden="false" customHeight="true" outlineLevel="0" collapsed="false">
      <c r="A21" s="8" t="n">
        <v>16</v>
      </c>
      <c r="B21" s="8" t="s">
        <v>99</v>
      </c>
      <c r="C21" s="8" t="s">
        <v>320</v>
      </c>
      <c r="D21" s="8" t="s">
        <v>321</v>
      </c>
      <c r="E21" s="8" t="s">
        <v>322</v>
      </c>
      <c r="F21" s="8" t="s">
        <v>253</v>
      </c>
      <c r="G21" s="8" t="s">
        <v>323</v>
      </c>
      <c r="H21" s="23" t="n">
        <v>0</v>
      </c>
      <c r="I21" s="23" t="n">
        <v>0</v>
      </c>
      <c r="J21" s="26"/>
      <c r="K21" s="25" t="n">
        <f aca="false">(H21+I21)*J21</f>
        <v>0</v>
      </c>
      <c r="L21" s="25" t="n">
        <f aca="false">K21*12</f>
        <v>0</v>
      </c>
      <c r="M21" s="8" t="s">
        <v>324</v>
      </c>
    </row>
    <row r="22" customFormat="false" ht="15" hidden="false" customHeight="true" outlineLevel="0" collapsed="false">
      <c r="A22" s="8" t="n">
        <v>17</v>
      </c>
      <c r="B22" s="8" t="s">
        <v>99</v>
      </c>
      <c r="C22" s="8" t="s">
        <v>325</v>
      </c>
      <c r="D22" s="8" t="s">
        <v>295</v>
      </c>
      <c r="E22" s="8" t="s">
        <v>326</v>
      </c>
      <c r="F22" s="8" t="s">
        <v>253</v>
      </c>
      <c r="G22" s="8" t="s">
        <v>210</v>
      </c>
      <c r="H22" s="23" t="n">
        <v>5</v>
      </c>
      <c r="I22" s="23" t="n">
        <v>20</v>
      </c>
      <c r="J22" s="24" t="n">
        <f aca="false">'Price Sources'!$D$16</f>
        <v>0.0264</v>
      </c>
      <c r="K22" s="25" t="n">
        <f aca="false">(H22+I22)*J22</f>
        <v>0.66</v>
      </c>
      <c r="L22" s="25" t="n">
        <f aca="false">K22*12</f>
        <v>7.92</v>
      </c>
      <c r="M22" s="8"/>
    </row>
    <row r="23" customFormat="false" ht="23.25" hidden="false" customHeight="true" outlineLevel="0" collapsed="false">
      <c r="A23" s="8" t="n">
        <v>18</v>
      </c>
      <c r="B23" s="8" t="s">
        <v>121</v>
      </c>
      <c r="C23" s="8" t="s">
        <v>327</v>
      </c>
      <c r="D23" s="8" t="s">
        <v>328</v>
      </c>
      <c r="E23" s="8" t="s">
        <v>329</v>
      </c>
      <c r="F23" s="8" t="s">
        <v>253</v>
      </c>
      <c r="G23" s="8" t="s">
        <v>330</v>
      </c>
      <c r="H23" s="23" t="n">
        <v>0</v>
      </c>
      <c r="I23" s="23" t="n">
        <v>1</v>
      </c>
      <c r="J23" s="24" t="n">
        <f aca="false">'Price Sources'!$D$17</f>
        <v>290.3907</v>
      </c>
      <c r="K23" s="25" t="n">
        <f aca="false">(H23+I23)*J23</f>
        <v>290.3907</v>
      </c>
      <c r="L23" s="25" t="n">
        <f aca="false">K23*12</f>
        <v>3484.6884</v>
      </c>
      <c r="M23" s="8" t="s">
        <v>331</v>
      </c>
    </row>
    <row r="24" customFormat="false" ht="15" hidden="false" customHeight="true" outlineLevel="0" collapsed="false">
      <c r="A24" s="8" t="n">
        <v>19</v>
      </c>
      <c r="B24" s="8" t="s">
        <v>121</v>
      </c>
      <c r="C24" s="8" t="s">
        <v>332</v>
      </c>
      <c r="D24" s="8" t="s">
        <v>295</v>
      </c>
      <c r="E24" s="8" t="s">
        <v>333</v>
      </c>
      <c r="F24" s="8" t="s">
        <v>253</v>
      </c>
      <c r="G24" s="8" t="s">
        <v>334</v>
      </c>
      <c r="H24" s="23" t="n">
        <v>4</v>
      </c>
      <c r="I24" s="23" t="n">
        <v>5</v>
      </c>
      <c r="J24" s="24" t="n">
        <f aca="false">'Price Sources'!$D$18*'Price Sources'!$B$3</f>
        <v>6.424</v>
      </c>
      <c r="K24" s="25" t="n">
        <f aca="false">(H24+I24)*J24</f>
        <v>57.816</v>
      </c>
      <c r="L24" s="25" t="n">
        <f aca="false">K24*12</f>
        <v>693.792</v>
      </c>
      <c r="M24" s="8" t="s">
        <v>335</v>
      </c>
    </row>
    <row r="25" customFormat="false" ht="15" hidden="false" customHeight="true" outlineLevel="0" collapsed="false">
      <c r="A25" s="8" t="n">
        <v>20</v>
      </c>
      <c r="B25" s="8" t="s">
        <v>138</v>
      </c>
      <c r="C25" s="8" t="s">
        <v>336</v>
      </c>
      <c r="D25" s="8" t="s">
        <v>337</v>
      </c>
      <c r="E25" s="8" t="s">
        <v>338</v>
      </c>
      <c r="F25" s="8" t="s">
        <v>253</v>
      </c>
      <c r="G25" s="8" t="s">
        <v>339</v>
      </c>
      <c r="H25" s="23" t="n">
        <v>5</v>
      </c>
      <c r="I25" s="23" t="n">
        <v>30</v>
      </c>
      <c r="J25" s="24" t="n">
        <f aca="false">'Price Sources'!$D$19</f>
        <v>2.6311</v>
      </c>
      <c r="K25" s="25" t="n">
        <f aca="false">(H25+I25)*J25</f>
        <v>92.0885</v>
      </c>
      <c r="L25" s="25" t="n">
        <f aca="false">K25*12</f>
        <v>1105.062</v>
      </c>
      <c r="M25" s="8" t="s">
        <v>340</v>
      </c>
    </row>
    <row r="26" customFormat="false" ht="15" hidden="false" customHeight="true" outlineLevel="0" collapsed="false">
      <c r="A26" s="8" t="n">
        <v>21</v>
      </c>
      <c r="B26" s="8" t="s">
        <v>138</v>
      </c>
      <c r="C26" s="8" t="s">
        <v>341</v>
      </c>
      <c r="D26" s="8" t="s">
        <v>295</v>
      </c>
      <c r="E26" s="8" t="s">
        <v>342</v>
      </c>
      <c r="F26" s="8" t="s">
        <v>263</v>
      </c>
      <c r="G26" s="8" t="s">
        <v>343</v>
      </c>
      <c r="H26" s="23" t="n">
        <v>0</v>
      </c>
      <c r="I26" s="23" t="n">
        <v>16</v>
      </c>
      <c r="J26" s="24" t="n">
        <f aca="false">'Price Sources'!$D$21*'Price Sources'!$B$3</f>
        <v>6.059</v>
      </c>
      <c r="K26" s="25" t="n">
        <f aca="false">(H26+I26)*J26</f>
        <v>96.944</v>
      </c>
      <c r="L26" s="25" t="n">
        <f aca="false">K26*12</f>
        <v>1163.328</v>
      </c>
      <c r="M26" s="8" t="s">
        <v>344</v>
      </c>
    </row>
    <row r="27" customFormat="false" ht="23.25" hidden="false" customHeight="true" outlineLevel="0" collapsed="false">
      <c r="A27" s="8" t="n">
        <v>22</v>
      </c>
      <c r="B27" s="8" t="s">
        <v>138</v>
      </c>
      <c r="C27" s="8" t="s">
        <v>345</v>
      </c>
      <c r="D27" s="8" t="s">
        <v>346</v>
      </c>
      <c r="E27" s="8" t="s">
        <v>347</v>
      </c>
      <c r="F27" s="8" t="s">
        <v>263</v>
      </c>
      <c r="G27" s="8" t="s">
        <v>348</v>
      </c>
      <c r="H27" s="23" t="n">
        <v>0</v>
      </c>
      <c r="I27" s="23" t="n">
        <v>1</v>
      </c>
      <c r="J27" s="26"/>
      <c r="K27" s="25" t="n">
        <f aca="false">(H27+I27)*J27</f>
        <v>0</v>
      </c>
      <c r="L27" s="25" t="n">
        <f aca="false">K27*12</f>
        <v>0</v>
      </c>
      <c r="M27" s="8" t="s">
        <v>349</v>
      </c>
    </row>
    <row r="28" customFormat="false" ht="15" hidden="false" customHeight="true" outlineLevel="0" collapsed="false">
      <c r="A28" s="8" t="n">
        <v>23</v>
      </c>
      <c r="B28" s="8" t="s">
        <v>126</v>
      </c>
      <c r="C28" s="8" t="s">
        <v>350</v>
      </c>
      <c r="D28" s="8" t="s">
        <v>295</v>
      </c>
      <c r="E28" s="8" t="s">
        <v>351</v>
      </c>
      <c r="F28" s="8" t="s">
        <v>253</v>
      </c>
      <c r="G28" s="8" t="s">
        <v>352</v>
      </c>
      <c r="H28" s="23" t="n">
        <v>1</v>
      </c>
      <c r="I28" s="23" t="n">
        <v>0</v>
      </c>
      <c r="J28" s="26"/>
      <c r="K28" s="25" t="n">
        <f aca="false">(H28+I28)*J28</f>
        <v>0</v>
      </c>
      <c r="L28" s="25" t="n">
        <f aca="false">K28*12</f>
        <v>0</v>
      </c>
      <c r="M28" s="8" t="s">
        <v>353</v>
      </c>
    </row>
    <row r="29" customFormat="false" ht="15" hidden="false" customHeight="true" outlineLevel="0" collapsed="false">
      <c r="A29" s="8" t="n">
        <v>24</v>
      </c>
      <c r="B29" s="8" t="s">
        <v>133</v>
      </c>
      <c r="C29" s="8" t="s">
        <v>354</v>
      </c>
      <c r="D29" s="8" t="s">
        <v>295</v>
      </c>
      <c r="E29" s="8" t="s">
        <v>355</v>
      </c>
      <c r="F29" s="8" t="s">
        <v>263</v>
      </c>
      <c r="G29" s="8" t="s">
        <v>356</v>
      </c>
      <c r="H29" s="23" t="n">
        <v>0</v>
      </c>
      <c r="I29" s="23" t="n">
        <v>0</v>
      </c>
      <c r="J29" s="26"/>
      <c r="K29" s="25" t="n">
        <f aca="false">(H29+I29)*J29</f>
        <v>0</v>
      </c>
      <c r="L29" s="25" t="n">
        <f aca="false">K29*12</f>
        <v>0</v>
      </c>
      <c r="M29" s="8" t="s">
        <v>357</v>
      </c>
    </row>
    <row r="30" customFormat="false" ht="15" hidden="false" customHeight="true" outlineLevel="0" collapsed="false">
      <c r="A30" s="8" t="n">
        <v>25</v>
      </c>
      <c r="B30" s="8" t="s">
        <v>79</v>
      </c>
      <c r="C30" s="8" t="s">
        <v>358</v>
      </c>
      <c r="D30" s="8" t="s">
        <v>359</v>
      </c>
      <c r="E30" s="8" t="s">
        <v>347</v>
      </c>
      <c r="F30" s="8" t="s">
        <v>360</v>
      </c>
      <c r="G30" s="8" t="s">
        <v>361</v>
      </c>
      <c r="H30" s="23" t="n">
        <v>0</v>
      </c>
      <c r="I30" s="23" t="n">
        <v>0</v>
      </c>
      <c r="J30" s="26"/>
      <c r="K30" s="25" t="n">
        <f aca="false">(H30+I30)*J30</f>
        <v>0</v>
      </c>
      <c r="L30" s="25" t="n">
        <f aca="false">K30*12</f>
        <v>0</v>
      </c>
      <c r="M30" s="8" t="s">
        <v>362</v>
      </c>
    </row>
    <row r="31" customFormat="false" ht="15" hidden="false" customHeight="true" outlineLevel="0" collapsed="false">
      <c r="A31" s="8" t="n">
        <v>26</v>
      </c>
      <c r="B31" s="8" t="s">
        <v>363</v>
      </c>
      <c r="C31" s="8" t="s">
        <v>364</v>
      </c>
      <c r="D31" s="8" t="s">
        <v>365</v>
      </c>
      <c r="E31" s="8" t="s">
        <v>366</v>
      </c>
      <c r="F31" s="8" t="s">
        <v>360</v>
      </c>
      <c r="G31" s="8" t="s">
        <v>367</v>
      </c>
      <c r="H31" s="23" t="n">
        <v>0</v>
      </c>
      <c r="I31" s="23" t="n">
        <v>0</v>
      </c>
      <c r="J31" s="26"/>
      <c r="K31" s="25" t="n">
        <f aca="false">(H31+I31)*J31</f>
        <v>0</v>
      </c>
      <c r="L31" s="25" t="n">
        <f aca="false">K31*12</f>
        <v>0</v>
      </c>
      <c r="M31" s="8" t="s">
        <v>368</v>
      </c>
    </row>
    <row r="33" customFormat="false" ht="15" hidden="false" customHeight="true" outlineLevel="0" collapsed="false">
      <c r="J33" s="4" t="s">
        <v>369</v>
      </c>
      <c r="K33" s="27" t="n">
        <f aca="false">SUMIFS(K6:K31,$F$6:$F$31,"Required")</f>
        <v>3140.92431666667</v>
      </c>
      <c r="L33" s="27" t="n">
        <f aca="false">SUMIFS(L6:L31,$F$6:$F$31,"Required")</f>
        <v>37691.0918</v>
      </c>
    </row>
    <row r="34" customFormat="false" ht="15" hidden="false" customHeight="true" outlineLevel="0" collapsed="false">
      <c r="J34" s="4" t="s">
        <v>370</v>
      </c>
      <c r="K34" s="27" t="n">
        <f aca="false">SUMIFS(K6:K31,$F$6:$F$31,"Optional")</f>
        <v>369.307</v>
      </c>
      <c r="L34" s="27" t="n">
        <f aca="false">SUMIFS(L6:L31,$F$6:$F$31,"Optional")</f>
        <v>4431.684</v>
      </c>
    </row>
    <row r="35" customFormat="false" ht="15" hidden="false" customHeight="true" outlineLevel="0" collapsed="false">
      <c r="J35" s="4" t="s">
        <v>371</v>
      </c>
      <c r="K35" s="27" t="n">
        <f aca="false">SUM(K6:K31)-SUMIFS(K6:K31,$F$6:$F$31,"Alternative")</f>
        <v>3510.23131666667</v>
      </c>
      <c r="L35" s="27" t="n">
        <f aca="false">SUM(L6:L31)-SUMIFS(L6:L31,$F$6:$F$31,"Alternative")</f>
        <v>42122.7758</v>
      </c>
    </row>
    <row r="37" customFormat="false" ht="15" hidden="false" customHeight="true" outlineLevel="0" collapsed="false">
      <c r="A37" s="28" t="s">
        <v>372</v>
      </c>
    </row>
  </sheetData>
  <autoFilter ref="A5:M31"/>
  <dataValidations count="1">
    <dataValidation allowBlank="true" errorStyle="stop" operator="between" showDropDown="false" showErrorMessage="false" showInputMessage="false" sqref="F6:F31" type="list">
      <formula1>"Required,Optional,Alternative"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44"/>
  </cols>
  <sheetData>
    <row r="1" customFormat="false" ht="17.25" hidden="false" customHeight="true" outlineLevel="0" collapsed="false">
      <c r="A1" s="2" t="s">
        <v>373</v>
      </c>
    </row>
    <row r="2" customFormat="false" ht="15" hidden="false" customHeight="true" outlineLevel="0" collapsed="false">
      <c r="A2" s="3" t="s">
        <v>374</v>
      </c>
    </row>
    <row r="3" customFormat="false" ht="15" hidden="false" customHeight="true" outlineLevel="0" collapsed="false">
      <c r="A3" s="4" t="s">
        <v>375</v>
      </c>
      <c r="B3" s="29" t="n">
        <v>730</v>
      </c>
      <c r="C3" s="22" t="s">
        <v>376</v>
      </c>
    </row>
    <row r="4" customFormat="false" ht="15" hidden="false" customHeight="true" outlineLevel="0" collapsed="false">
      <c r="A4" s="4" t="s">
        <v>377</v>
      </c>
      <c r="B4" s="30" t="n">
        <v>0.88</v>
      </c>
      <c r="C4" s="22" t="s">
        <v>378</v>
      </c>
    </row>
    <row r="6" customFormat="false" ht="23.25" hidden="false" customHeight="true" outlineLevel="0" collapsed="false">
      <c r="A6" s="7" t="s">
        <v>379</v>
      </c>
      <c r="B6" s="7" t="s">
        <v>380</v>
      </c>
      <c r="C6" s="7" t="s">
        <v>381</v>
      </c>
      <c r="D6" s="7" t="s">
        <v>382</v>
      </c>
      <c r="E6" s="7" t="s">
        <v>383</v>
      </c>
      <c r="F6" s="7" t="s">
        <v>384</v>
      </c>
    </row>
    <row r="7" customFormat="false" ht="15" hidden="false" customHeight="true" outlineLevel="0" collapsed="false">
      <c r="A7" s="8" t="s">
        <v>385</v>
      </c>
      <c r="B7" s="8" t="s">
        <v>386</v>
      </c>
      <c r="C7" s="8" t="s">
        <v>387</v>
      </c>
      <c r="D7" s="31" t="n">
        <v>0.0712</v>
      </c>
      <c r="E7" s="8" t="s">
        <v>388</v>
      </c>
      <c r="F7" s="8" t="s">
        <v>389</v>
      </c>
    </row>
    <row r="8" customFormat="false" ht="15" hidden="false" customHeight="true" outlineLevel="0" collapsed="false">
      <c r="A8" s="8" t="s">
        <v>390</v>
      </c>
      <c r="B8" s="8" t="s">
        <v>386</v>
      </c>
      <c r="C8" s="8" t="s">
        <v>391</v>
      </c>
      <c r="D8" s="31" t="n">
        <v>0.0058</v>
      </c>
      <c r="E8" s="8" t="s">
        <v>392</v>
      </c>
      <c r="F8" s="8" t="s">
        <v>389</v>
      </c>
    </row>
    <row r="9" customFormat="false" ht="15" hidden="false" customHeight="true" outlineLevel="0" collapsed="false">
      <c r="A9" s="8" t="s">
        <v>393</v>
      </c>
      <c r="B9" s="8" t="s">
        <v>386</v>
      </c>
      <c r="C9" s="8" t="s">
        <v>394</v>
      </c>
      <c r="D9" s="31" t="n">
        <v>0.088</v>
      </c>
      <c r="E9" s="8" t="s">
        <v>395</v>
      </c>
      <c r="F9" s="8" t="s">
        <v>389</v>
      </c>
    </row>
    <row r="10" customFormat="false" ht="15" hidden="false" customHeight="true" outlineLevel="0" collapsed="false">
      <c r="A10" s="8" t="s">
        <v>396</v>
      </c>
      <c r="B10" s="8" t="s">
        <v>397</v>
      </c>
      <c r="C10" s="8" t="s">
        <v>398</v>
      </c>
      <c r="D10" s="31" t="n">
        <v>0.3731</v>
      </c>
      <c r="E10" s="8" t="s">
        <v>399</v>
      </c>
      <c r="F10" s="8" t="s">
        <v>389</v>
      </c>
    </row>
    <row r="11" customFormat="false" ht="15" hidden="false" customHeight="true" outlineLevel="0" collapsed="false">
      <c r="A11" s="8" t="s">
        <v>400</v>
      </c>
      <c r="B11" s="8" t="s">
        <v>397</v>
      </c>
      <c r="C11" s="8" t="s">
        <v>401</v>
      </c>
      <c r="D11" s="31" t="n">
        <v>0.1401</v>
      </c>
      <c r="E11" s="8" t="s">
        <v>399</v>
      </c>
      <c r="F11" s="8" t="s">
        <v>389</v>
      </c>
    </row>
    <row r="12" customFormat="false" ht="15" hidden="false" customHeight="true" outlineLevel="0" collapsed="false">
      <c r="A12" s="8" t="s">
        <v>402</v>
      </c>
      <c r="B12" s="8" t="s">
        <v>397</v>
      </c>
      <c r="C12" s="8" t="s">
        <v>403</v>
      </c>
      <c r="D12" s="31" t="n">
        <v>0.1205</v>
      </c>
      <c r="E12" s="8" t="s">
        <v>404</v>
      </c>
      <c r="F12" s="8" t="s">
        <v>389</v>
      </c>
    </row>
    <row r="13" customFormat="false" ht="15" hidden="false" customHeight="true" outlineLevel="0" collapsed="false">
      <c r="A13" s="8" t="s">
        <v>405</v>
      </c>
      <c r="B13" s="8" t="s">
        <v>406</v>
      </c>
      <c r="C13" s="8" t="s">
        <v>407</v>
      </c>
      <c r="D13" s="31" t="n">
        <v>0.2112</v>
      </c>
      <c r="E13" s="8" t="s">
        <v>404</v>
      </c>
      <c r="F13" s="8" t="s">
        <v>389</v>
      </c>
    </row>
    <row r="14" customFormat="false" ht="15" hidden="false" customHeight="true" outlineLevel="0" collapsed="false">
      <c r="A14" s="8" t="s">
        <v>408</v>
      </c>
      <c r="B14" s="8" t="s">
        <v>409</v>
      </c>
      <c r="C14" s="8" t="s">
        <v>410</v>
      </c>
      <c r="D14" s="31" t="n">
        <v>0.0211</v>
      </c>
      <c r="E14" s="8" t="s">
        <v>404</v>
      </c>
      <c r="F14" s="8" t="s">
        <v>389</v>
      </c>
    </row>
    <row r="15" customFormat="false" ht="15" hidden="false" customHeight="true" outlineLevel="0" collapsed="false">
      <c r="A15" s="8" t="s">
        <v>411</v>
      </c>
      <c r="B15" s="8" t="s">
        <v>412</v>
      </c>
      <c r="C15" s="8" t="s">
        <v>413</v>
      </c>
      <c r="D15" s="31" t="n">
        <v>0.5866</v>
      </c>
      <c r="E15" s="8" t="s">
        <v>414</v>
      </c>
      <c r="F15" s="8" t="s">
        <v>389</v>
      </c>
    </row>
    <row r="16" customFormat="false" ht="15" hidden="false" customHeight="true" outlineLevel="0" collapsed="false">
      <c r="A16" s="8" t="s">
        <v>415</v>
      </c>
      <c r="B16" s="8" t="s">
        <v>416</v>
      </c>
      <c r="C16" s="8" t="s">
        <v>417</v>
      </c>
      <c r="D16" s="31" t="n">
        <v>0.0264</v>
      </c>
      <c r="E16" s="8" t="s">
        <v>418</v>
      </c>
      <c r="F16" s="8" t="s">
        <v>389</v>
      </c>
    </row>
    <row r="17" customFormat="false" ht="15" hidden="false" customHeight="true" outlineLevel="0" collapsed="false">
      <c r="A17" s="8" t="s">
        <v>419</v>
      </c>
      <c r="B17" s="8" t="s">
        <v>327</v>
      </c>
      <c r="C17" s="8" t="s">
        <v>420</v>
      </c>
      <c r="D17" s="31" t="n">
        <v>290.3907</v>
      </c>
      <c r="E17" s="8" t="s">
        <v>421</v>
      </c>
      <c r="F17" s="8" t="s">
        <v>422</v>
      </c>
    </row>
    <row r="18" customFormat="false" ht="15" hidden="false" customHeight="true" outlineLevel="0" collapsed="false">
      <c r="A18" s="8" t="s">
        <v>423</v>
      </c>
      <c r="B18" s="8" t="s">
        <v>424</v>
      </c>
      <c r="C18" s="8" t="s">
        <v>425</v>
      </c>
      <c r="D18" s="31" t="n">
        <v>0.0088</v>
      </c>
      <c r="E18" s="8" t="s">
        <v>426</v>
      </c>
      <c r="F18" s="8" t="s">
        <v>427</v>
      </c>
    </row>
    <row r="19" customFormat="false" ht="15" hidden="false" customHeight="true" outlineLevel="0" collapsed="false">
      <c r="A19" s="8" t="s">
        <v>428</v>
      </c>
      <c r="B19" s="8" t="s">
        <v>429</v>
      </c>
      <c r="C19" s="8" t="s">
        <v>430</v>
      </c>
      <c r="D19" s="31" t="n">
        <v>2.6311</v>
      </c>
      <c r="E19" s="8" t="s">
        <v>431</v>
      </c>
      <c r="F19" s="8" t="s">
        <v>389</v>
      </c>
    </row>
    <row r="20" customFormat="false" ht="15" hidden="false" customHeight="true" outlineLevel="0" collapsed="false">
      <c r="A20" s="8" t="s">
        <v>432</v>
      </c>
      <c r="B20" s="8" t="s">
        <v>433</v>
      </c>
      <c r="C20" s="8" t="s">
        <v>434</v>
      </c>
      <c r="D20" s="31" t="n">
        <v>0.33</v>
      </c>
      <c r="E20" s="8" t="s">
        <v>435</v>
      </c>
      <c r="F20" s="8" t="s">
        <v>389</v>
      </c>
    </row>
    <row r="21" customFormat="false" ht="15" hidden="false" customHeight="true" outlineLevel="0" collapsed="false">
      <c r="A21" s="8" t="s">
        <v>436</v>
      </c>
      <c r="B21" s="8" t="s">
        <v>341</v>
      </c>
      <c r="C21" s="8" t="s">
        <v>437</v>
      </c>
      <c r="D21" s="31" t="n">
        <v>0.0083</v>
      </c>
      <c r="E21" s="8" t="s">
        <v>438</v>
      </c>
      <c r="F21" s="8" t="s">
        <v>389</v>
      </c>
    </row>
    <row r="22" customFormat="false" ht="15" hidden="false" customHeight="true" outlineLevel="0" collapsed="false">
      <c r="A22" s="8" t="s">
        <v>439</v>
      </c>
      <c r="B22" s="8" t="s">
        <v>440</v>
      </c>
      <c r="C22" s="8" t="s">
        <v>441</v>
      </c>
      <c r="D22" s="31" t="n">
        <v>0.0001</v>
      </c>
      <c r="E22" s="8" t="s">
        <v>442</v>
      </c>
      <c r="F22" s="8" t="s">
        <v>443</v>
      </c>
    </row>
  </sheetData>
  <autoFilter ref="A6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8" min="5" style="1" width="14"/>
    <col collapsed="false" customWidth="true" hidden="false" outlineLevel="0" max="9" min="9" style="1" width="55"/>
  </cols>
  <sheetData>
    <row r="1" customFormat="false" ht="17.25" hidden="false" customHeight="true" outlineLevel="0" collapsed="false">
      <c r="A1" s="2" t="s">
        <v>444</v>
      </c>
    </row>
    <row r="2" customFormat="false" ht="15" hidden="false" customHeight="true" outlineLevel="0" collapsed="false">
      <c r="A2" s="3" t="s">
        <v>445</v>
      </c>
    </row>
    <row r="4" customFormat="false" ht="15" hidden="false" customHeight="true" outlineLevel="0" collapsed="false">
      <c r="A4" s="32" t="s">
        <v>446</v>
      </c>
      <c r="B4" s="32" t="s">
        <v>447</v>
      </c>
      <c r="C4" s="32" t="s">
        <v>448</v>
      </c>
      <c r="D4" s="32" t="s">
        <v>384</v>
      </c>
    </row>
    <row r="5" customFormat="false" ht="15" hidden="false" customHeight="true" outlineLevel="0" collapsed="false">
      <c r="A5" s="33" t="s">
        <v>449</v>
      </c>
      <c r="B5" s="34" t="n">
        <v>5</v>
      </c>
      <c r="C5" s="34" t="n">
        <v>25</v>
      </c>
      <c r="D5" s="33" t="s">
        <v>450</v>
      </c>
    </row>
    <row r="6" customFormat="false" ht="15" hidden="false" customHeight="true" outlineLevel="0" collapsed="false">
      <c r="A6" s="33" t="s">
        <v>451</v>
      </c>
      <c r="B6" s="34" t="n">
        <v>2</v>
      </c>
      <c r="C6" s="34" t="n">
        <v>10</v>
      </c>
      <c r="D6" s="33" t="s">
        <v>450</v>
      </c>
    </row>
    <row r="7" customFormat="false" ht="15" hidden="false" customHeight="true" outlineLevel="0" collapsed="false">
      <c r="A7" s="33" t="s">
        <v>452</v>
      </c>
      <c r="B7" s="34" t="n">
        <v>1</v>
      </c>
      <c r="C7" s="34" t="n">
        <v>5</v>
      </c>
      <c r="D7" s="33" t="s">
        <v>450</v>
      </c>
    </row>
    <row r="10" customFormat="false" ht="23.25" hidden="false" customHeight="true" outlineLevel="0" collapsed="false">
      <c r="A10" s="7" t="s">
        <v>453</v>
      </c>
      <c r="B10" s="7" t="s">
        <v>454</v>
      </c>
      <c r="C10" s="7" t="s">
        <v>446</v>
      </c>
      <c r="D10" s="7" t="s">
        <v>455</v>
      </c>
      <c r="E10" s="7" t="s">
        <v>456</v>
      </c>
      <c r="F10" s="7" t="s">
        <v>457</v>
      </c>
      <c r="G10" s="7" t="s">
        <v>458</v>
      </c>
      <c r="H10" s="7" t="s">
        <v>459</v>
      </c>
      <c r="I10" s="7" t="s">
        <v>460</v>
      </c>
    </row>
    <row r="11" customFormat="false" ht="15" hidden="false" customHeight="true" outlineLevel="0" collapsed="false">
      <c r="A11" s="8" t="s">
        <v>461</v>
      </c>
      <c r="B11" s="8" t="s">
        <v>462</v>
      </c>
      <c r="C11" s="23" t="s">
        <v>449</v>
      </c>
      <c r="D11" s="35" t="n">
        <v>1500</v>
      </c>
      <c r="E11" s="35" t="n">
        <v>12000</v>
      </c>
      <c r="F11" s="35" t="n">
        <v>1500</v>
      </c>
      <c r="G11" s="36" t="n">
        <f aca="false">D11*(E11*INDEX($B$5:$B$7,MATCH(C11,$A$5:$A$7,0))+F11*INDEX($C$5:$C$7,MATCH(C11,$A$5:$A$7,0)))/1000000</f>
        <v>146.25</v>
      </c>
      <c r="H11" s="37" t="n">
        <f aca="false">G11*'Price Sources'!$B$4</f>
        <v>128.7</v>
      </c>
      <c r="I11" s="8" t="s">
        <v>463</v>
      </c>
    </row>
    <row r="12" customFormat="false" ht="15" hidden="false" customHeight="true" outlineLevel="0" collapsed="false">
      <c r="A12" s="8" t="s">
        <v>464</v>
      </c>
      <c r="B12" s="8" t="s">
        <v>465</v>
      </c>
      <c r="C12" s="23" t="s">
        <v>451</v>
      </c>
      <c r="D12" s="35" t="n">
        <v>1500</v>
      </c>
      <c r="E12" s="35" t="n">
        <v>20000</v>
      </c>
      <c r="F12" s="35" t="n">
        <v>2000</v>
      </c>
      <c r="G12" s="36" t="n">
        <f aca="false">D12*(E12*INDEX($B$5:$B$7,MATCH(C12,$A$5:$A$7,0))+F12*INDEX($C$5:$C$7,MATCH(C12,$A$5:$A$7,0)))/1000000</f>
        <v>90</v>
      </c>
      <c r="H12" s="37" t="n">
        <f aca="false">G12*'Price Sources'!$B$4</f>
        <v>79.2</v>
      </c>
      <c r="I12" s="8" t="s">
        <v>466</v>
      </c>
    </row>
    <row r="13" customFormat="false" ht="23.25" hidden="false" customHeight="true" outlineLevel="0" collapsed="false">
      <c r="A13" s="8" t="s">
        <v>467</v>
      </c>
      <c r="B13" s="8" t="s">
        <v>468</v>
      </c>
      <c r="C13" s="23" t="s">
        <v>452</v>
      </c>
      <c r="D13" s="35" t="n">
        <v>2000</v>
      </c>
      <c r="E13" s="35" t="n">
        <v>1500</v>
      </c>
      <c r="F13" s="35" t="n">
        <v>100</v>
      </c>
      <c r="G13" s="36" t="n">
        <f aca="false">D13*(E13*INDEX($B$5:$B$7,MATCH(C13,$A$5:$A$7,0))+F13*INDEX($C$5:$C$7,MATCH(C13,$A$5:$A$7,0)))/1000000</f>
        <v>4</v>
      </c>
      <c r="H13" s="37" t="n">
        <f aca="false">G13*'Price Sources'!$B$4</f>
        <v>3.52</v>
      </c>
      <c r="I13" s="8" t="s">
        <v>469</v>
      </c>
    </row>
    <row r="14" customFormat="false" ht="15" hidden="false" customHeight="true" outlineLevel="0" collapsed="false">
      <c r="A14" s="8" t="s">
        <v>470</v>
      </c>
      <c r="B14" s="8" t="s">
        <v>471</v>
      </c>
      <c r="C14" s="23" t="s">
        <v>449</v>
      </c>
      <c r="D14" s="35" t="n">
        <v>200</v>
      </c>
      <c r="E14" s="35" t="n">
        <v>80000</v>
      </c>
      <c r="F14" s="35" t="n">
        <v>6000</v>
      </c>
      <c r="G14" s="36" t="n">
        <f aca="false">D14*(E14*INDEX($B$5:$B$7,MATCH(C14,$A$5:$A$7,0))+F14*INDEX($C$5:$C$7,MATCH(C14,$A$5:$A$7,0)))/1000000</f>
        <v>110</v>
      </c>
      <c r="H14" s="37" t="n">
        <f aca="false">G14*'Price Sources'!$B$4</f>
        <v>96.8</v>
      </c>
      <c r="I14" s="8" t="s">
        <v>472</v>
      </c>
    </row>
    <row r="15" customFormat="false" ht="15" hidden="false" customHeight="true" outlineLevel="0" collapsed="false">
      <c r="A15" s="8" t="s">
        <v>473</v>
      </c>
      <c r="B15" s="8" t="s">
        <v>474</v>
      </c>
      <c r="C15" s="23" t="s">
        <v>449</v>
      </c>
      <c r="D15" s="35" t="n">
        <v>40</v>
      </c>
      <c r="E15" s="35" t="n">
        <v>150000</v>
      </c>
      <c r="F15" s="35" t="n">
        <v>15000</v>
      </c>
      <c r="G15" s="36" t="n">
        <f aca="false">D15*(E15*INDEX($B$5:$B$7,MATCH(C15,$A$5:$A$7,0))+F15*INDEX($C$5:$C$7,MATCH(C15,$A$5:$A$7,0)))/1000000</f>
        <v>45</v>
      </c>
      <c r="H15" s="37" t="n">
        <f aca="false">G15*'Price Sources'!$B$4</f>
        <v>39.6</v>
      </c>
      <c r="I15" s="8" t="s">
        <v>475</v>
      </c>
    </row>
    <row r="16" customFormat="false" ht="23.25" hidden="false" customHeight="true" outlineLevel="0" collapsed="false">
      <c r="A16" s="8" t="s">
        <v>476</v>
      </c>
      <c r="B16" s="8" t="s">
        <v>477</v>
      </c>
      <c r="C16" s="23" t="s">
        <v>449</v>
      </c>
      <c r="D16" s="35" t="n">
        <v>20</v>
      </c>
      <c r="E16" s="35" t="n">
        <v>120000</v>
      </c>
      <c r="F16" s="35" t="n">
        <v>20000</v>
      </c>
      <c r="G16" s="36" t="n">
        <f aca="false">D16*(E16*INDEX($B$5:$B$7,MATCH(C16,$A$5:$A$7,0))+F16*INDEX($C$5:$C$7,MATCH(C16,$A$5:$A$7,0)))/1000000</f>
        <v>22</v>
      </c>
      <c r="H16" s="37" t="n">
        <f aca="false">G16*'Price Sources'!$B$4</f>
        <v>19.36</v>
      </c>
      <c r="I16" s="8" t="s">
        <v>478</v>
      </c>
    </row>
    <row r="17" customFormat="false" ht="15" hidden="false" customHeight="true" outlineLevel="0" collapsed="false">
      <c r="A17" s="8" t="s">
        <v>479</v>
      </c>
      <c r="B17" s="8" t="s">
        <v>480</v>
      </c>
      <c r="C17" s="23" t="s">
        <v>451</v>
      </c>
      <c r="D17" s="35" t="n">
        <v>300</v>
      </c>
      <c r="E17" s="35" t="n">
        <v>4000</v>
      </c>
      <c r="F17" s="35" t="n">
        <v>500</v>
      </c>
      <c r="G17" s="36" t="n">
        <f aca="false">D17*(E17*INDEX($B$5:$B$7,MATCH(C17,$A$5:$A$7,0))+F17*INDEX($C$5:$C$7,MATCH(C17,$A$5:$A$7,0)))/1000000</f>
        <v>3.9</v>
      </c>
      <c r="H17" s="37" t="n">
        <f aca="false">G17*'Price Sources'!$B$4</f>
        <v>3.432</v>
      </c>
      <c r="I17" s="8" t="s">
        <v>481</v>
      </c>
    </row>
    <row r="18" customFormat="false" ht="15" hidden="false" customHeight="true" outlineLevel="0" collapsed="false">
      <c r="A18" s="8" t="s">
        <v>482</v>
      </c>
      <c r="B18" s="8" t="s">
        <v>483</v>
      </c>
      <c r="C18" s="23" t="s">
        <v>449</v>
      </c>
      <c r="D18" s="35" t="n">
        <v>300</v>
      </c>
      <c r="E18" s="35" t="n">
        <v>6000</v>
      </c>
      <c r="F18" s="35" t="n">
        <v>500</v>
      </c>
      <c r="G18" s="36" t="n">
        <f aca="false">D18*(E18*INDEX($B$5:$B$7,MATCH(C18,$A$5:$A$7,0))+F18*INDEX($C$5:$C$7,MATCH(C18,$A$5:$A$7,0)))/1000000</f>
        <v>12.75</v>
      </c>
      <c r="H18" s="37" t="n">
        <f aca="false">G18*'Price Sources'!$B$4</f>
        <v>11.22</v>
      </c>
      <c r="I18" s="8" t="s">
        <v>481</v>
      </c>
    </row>
    <row r="19" customFormat="false" ht="15" hidden="false" customHeight="true" outlineLevel="0" collapsed="false">
      <c r="A19" s="8" t="s">
        <v>484</v>
      </c>
      <c r="B19" s="8" t="s">
        <v>485</v>
      </c>
      <c r="C19" s="23" t="s">
        <v>449</v>
      </c>
      <c r="D19" s="35" t="n">
        <v>200</v>
      </c>
      <c r="E19" s="35" t="n">
        <v>10000</v>
      </c>
      <c r="F19" s="35" t="n">
        <v>2000</v>
      </c>
      <c r="G19" s="36" t="n">
        <f aca="false">D19*(E19*INDEX($B$5:$B$7,MATCH(C19,$A$5:$A$7,0))+F19*INDEX($C$5:$C$7,MATCH(C19,$A$5:$A$7,0)))/1000000</f>
        <v>20</v>
      </c>
      <c r="H19" s="37" t="n">
        <f aca="false">G19*'Price Sources'!$B$4</f>
        <v>17.6</v>
      </c>
      <c r="I19" s="8" t="s">
        <v>486</v>
      </c>
    </row>
    <row r="20" customFormat="false" ht="15" hidden="false" customHeight="true" outlineLevel="0" collapsed="false">
      <c r="A20" s="8" t="s">
        <v>487</v>
      </c>
      <c r="B20" s="8" t="s">
        <v>488</v>
      </c>
      <c r="C20" s="23" t="s">
        <v>449</v>
      </c>
      <c r="D20" s="35" t="n">
        <v>500</v>
      </c>
      <c r="E20" s="35" t="n">
        <v>2000</v>
      </c>
      <c r="F20" s="35" t="n">
        <v>500</v>
      </c>
      <c r="G20" s="36" t="n">
        <f aca="false">D20*(E20*INDEX($B$5:$B$7,MATCH(C20,$A$5:$A$7,0))+F20*INDEX($C$5:$C$7,MATCH(C20,$A$5:$A$7,0)))/1000000</f>
        <v>11.25</v>
      </c>
      <c r="H20" s="37" t="n">
        <f aca="false">G20*'Price Sources'!$B$4</f>
        <v>9.9</v>
      </c>
      <c r="I20" s="8" t="s">
        <v>489</v>
      </c>
    </row>
    <row r="21" customFormat="false" ht="15" hidden="false" customHeight="true" outlineLevel="0" collapsed="false">
      <c r="F21" s="4" t="s">
        <v>490</v>
      </c>
      <c r="G21" s="38" t="n">
        <f aca="false">SUM(G11:G20)</f>
        <v>465.15</v>
      </c>
      <c r="H21" s="39" t="n">
        <f aca="false">SUM(H11:H20)</f>
        <v>409.332</v>
      </c>
    </row>
    <row r="23" customFormat="false" ht="15" hidden="false" customHeight="true" outlineLevel="0" collapsed="false">
      <c r="A23" s="28" t="s">
        <v>491</v>
      </c>
    </row>
  </sheetData>
  <dataValidations count="1">
    <dataValidation allowBlank="false" errorStyle="stop" operator="between" showDropDown="false" showErrorMessage="false" showInputMessage="false" sqref="C11:C20" type="list">
      <formula1>"claude-opus-5,claude-sonnet-5,claude-haiku-4-5"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70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492</v>
      </c>
    </row>
    <row r="2" customFormat="false" ht="15" hidden="false" customHeight="true" outlineLevel="0" collapsed="false">
      <c r="A2" s="3" t="s">
        <v>493</v>
      </c>
    </row>
    <row r="4" customFormat="false" ht="34.5" hidden="false" customHeight="true" outlineLevel="0" collapsed="false">
      <c r="A4" s="7" t="s">
        <v>30</v>
      </c>
      <c r="B4" s="7" t="s">
        <v>494</v>
      </c>
      <c r="C4" s="7" t="s">
        <v>495</v>
      </c>
      <c r="D4" s="7" t="s">
        <v>496</v>
      </c>
      <c r="E4" s="7" t="s">
        <v>497</v>
      </c>
      <c r="F4" s="7" t="s">
        <v>498</v>
      </c>
    </row>
    <row r="5" customFormat="false" ht="23.25" hidden="false" customHeight="true" outlineLevel="0" collapsed="false">
      <c r="A5" s="8" t="n">
        <v>1</v>
      </c>
      <c r="B5" s="8" t="s">
        <v>499</v>
      </c>
      <c r="C5" s="8" t="s">
        <v>500</v>
      </c>
      <c r="D5" s="8" t="s">
        <v>501</v>
      </c>
      <c r="E5" s="23" t="n">
        <v>0.5</v>
      </c>
      <c r="F5" s="8" t="s">
        <v>502</v>
      </c>
    </row>
    <row r="6" customFormat="false" ht="23.25" hidden="false" customHeight="true" outlineLevel="0" collapsed="false">
      <c r="A6" s="8" t="n">
        <v>2</v>
      </c>
      <c r="B6" s="8" t="s">
        <v>503</v>
      </c>
      <c r="C6" s="8" t="s">
        <v>504</v>
      </c>
      <c r="D6" s="8" t="s">
        <v>505</v>
      </c>
      <c r="E6" s="23" t="n">
        <v>0.5</v>
      </c>
      <c r="F6" s="8" t="s">
        <v>502</v>
      </c>
    </row>
    <row r="7" customFormat="false" ht="23.25" hidden="false" customHeight="true" outlineLevel="0" collapsed="false">
      <c r="A7" s="8" t="n">
        <v>3</v>
      </c>
      <c r="B7" s="8" t="s">
        <v>63</v>
      </c>
      <c r="C7" s="8" t="s">
        <v>506</v>
      </c>
      <c r="D7" s="8" t="s">
        <v>507</v>
      </c>
      <c r="E7" s="23" t="n">
        <v>0.5</v>
      </c>
      <c r="F7" s="8" t="s">
        <v>502</v>
      </c>
    </row>
    <row r="8" customFormat="false" ht="23.25" hidden="false" customHeight="true" outlineLevel="0" collapsed="false">
      <c r="A8" s="8" t="n">
        <v>4</v>
      </c>
      <c r="B8" s="8" t="s">
        <v>508</v>
      </c>
      <c r="C8" s="8" t="s">
        <v>509</v>
      </c>
      <c r="D8" s="8" t="s">
        <v>510</v>
      </c>
      <c r="E8" s="23" t="n">
        <v>2</v>
      </c>
      <c r="F8" s="8" t="s">
        <v>511</v>
      </c>
    </row>
    <row r="9" customFormat="false" ht="15" hidden="false" customHeight="true" outlineLevel="0" collapsed="false">
      <c r="A9" s="8" t="n">
        <v>5</v>
      </c>
      <c r="B9" s="8" t="s">
        <v>512</v>
      </c>
      <c r="C9" s="8" t="s">
        <v>513</v>
      </c>
      <c r="D9" s="8" t="s">
        <v>514</v>
      </c>
      <c r="E9" s="23" t="n">
        <v>1</v>
      </c>
      <c r="F9" s="8" t="s">
        <v>502</v>
      </c>
    </row>
    <row r="10" customFormat="false" ht="15" hidden="false" customHeight="true" outlineLevel="0" collapsed="false">
      <c r="A10" s="8" t="n">
        <v>6</v>
      </c>
      <c r="B10" s="8" t="s">
        <v>515</v>
      </c>
      <c r="C10" s="8" t="s">
        <v>516</v>
      </c>
      <c r="D10" s="8" t="s">
        <v>517</v>
      </c>
      <c r="E10" s="23" t="n">
        <v>1</v>
      </c>
      <c r="F10" s="8" t="s">
        <v>511</v>
      </c>
    </row>
    <row r="11" customFormat="false" ht="15" hidden="false" customHeight="true" outlineLevel="0" collapsed="false">
      <c r="A11" s="8" t="n">
        <v>7</v>
      </c>
      <c r="B11" s="8" t="s">
        <v>85</v>
      </c>
      <c r="C11" s="8" t="s">
        <v>518</v>
      </c>
      <c r="D11" s="8" t="s">
        <v>519</v>
      </c>
      <c r="E11" s="23" t="n">
        <v>0.5</v>
      </c>
      <c r="F11" s="8" t="s">
        <v>502</v>
      </c>
    </row>
    <row r="12" customFormat="false" ht="15" hidden="false" customHeight="true" outlineLevel="0" collapsed="false">
      <c r="A12" s="8" t="n">
        <v>8</v>
      </c>
      <c r="B12" s="8" t="s">
        <v>520</v>
      </c>
      <c r="C12" s="8" t="s">
        <v>521</v>
      </c>
      <c r="D12" s="8" t="s">
        <v>522</v>
      </c>
      <c r="E12" s="23" t="n">
        <v>0.5</v>
      </c>
      <c r="F12" s="8" t="s">
        <v>502</v>
      </c>
    </row>
    <row r="13" customFormat="false" ht="23.25" hidden="false" customHeight="true" outlineLevel="0" collapsed="false">
      <c r="A13" s="8" t="n">
        <v>9</v>
      </c>
      <c r="B13" s="8" t="s">
        <v>108</v>
      </c>
      <c r="C13" s="8" t="s">
        <v>523</v>
      </c>
      <c r="D13" s="8" t="s">
        <v>524</v>
      </c>
      <c r="E13" s="23" t="n">
        <v>1</v>
      </c>
      <c r="F13" s="8" t="s">
        <v>502</v>
      </c>
    </row>
    <row r="14" customFormat="false" ht="15" hidden="false" customHeight="true" outlineLevel="0" collapsed="false">
      <c r="A14" s="8" t="n">
        <v>10</v>
      </c>
      <c r="B14" s="8" t="s">
        <v>525</v>
      </c>
      <c r="C14" s="8" t="s">
        <v>526</v>
      </c>
      <c r="D14" s="8" t="s">
        <v>527</v>
      </c>
      <c r="E14" s="23" t="n">
        <v>2</v>
      </c>
      <c r="F14" s="8" t="s">
        <v>511</v>
      </c>
    </row>
    <row r="15" customFormat="false" ht="15" hidden="false" customHeight="true" outlineLevel="0" collapsed="false">
      <c r="A15" s="8" t="n">
        <v>11</v>
      </c>
      <c r="B15" s="8" t="s">
        <v>528</v>
      </c>
      <c r="C15" s="8" t="s">
        <v>529</v>
      </c>
      <c r="D15" s="8" t="s">
        <v>530</v>
      </c>
      <c r="E15" s="23" t="n">
        <v>1.5</v>
      </c>
      <c r="F15" s="8" t="s">
        <v>511</v>
      </c>
    </row>
    <row r="16" customFormat="false" ht="15" hidden="false" customHeight="true" outlineLevel="0" collapsed="false">
      <c r="D16" s="4" t="s">
        <v>531</v>
      </c>
      <c r="E16" s="40" t="n">
        <f aca="false">SUM(E5:E15)</f>
        <v>11</v>
      </c>
    </row>
  </sheetData>
  <autoFilter ref="A4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0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532</v>
      </c>
    </row>
    <row r="2" customFormat="false" ht="15" hidden="false" customHeight="true" outlineLevel="0" collapsed="false">
      <c r="A2" s="3" t="s">
        <v>533</v>
      </c>
    </row>
    <row r="4" customFormat="false" ht="15" hidden="false" customHeight="true" outlineLevel="0" collapsed="false">
      <c r="A4" s="7" t="s">
        <v>30</v>
      </c>
      <c r="B4" s="7" t="s">
        <v>534</v>
      </c>
      <c r="C4" s="7" t="s">
        <v>535</v>
      </c>
      <c r="D4" s="7" t="s">
        <v>536</v>
      </c>
    </row>
    <row r="5" customFormat="false" ht="23.25" hidden="false" customHeight="true" outlineLevel="0" collapsed="false">
      <c r="A5" s="8" t="n">
        <v>1</v>
      </c>
      <c r="B5" s="8" t="s">
        <v>481</v>
      </c>
      <c r="C5" s="8" t="s">
        <v>537</v>
      </c>
      <c r="D5" s="8" t="s">
        <v>538</v>
      </c>
    </row>
    <row r="6" customFormat="false" ht="15" hidden="false" customHeight="true" outlineLevel="0" collapsed="false">
      <c r="A6" s="8" t="n">
        <v>2</v>
      </c>
      <c r="B6" s="8" t="s">
        <v>481</v>
      </c>
      <c r="C6" s="8" t="s">
        <v>539</v>
      </c>
      <c r="D6" s="8" t="s">
        <v>540</v>
      </c>
    </row>
    <row r="7" customFormat="false" ht="15" hidden="false" customHeight="true" outlineLevel="0" collapsed="false">
      <c r="A7" s="8" t="n">
        <v>3</v>
      </c>
      <c r="B7" s="8" t="s">
        <v>481</v>
      </c>
      <c r="C7" s="8" t="s">
        <v>541</v>
      </c>
      <c r="D7" s="8" t="s">
        <v>542</v>
      </c>
    </row>
    <row r="8" customFormat="false" ht="15" hidden="false" customHeight="true" outlineLevel="0" collapsed="false">
      <c r="A8" s="8" t="n">
        <v>4</v>
      </c>
      <c r="B8" s="8" t="s">
        <v>481</v>
      </c>
      <c r="C8" s="8" t="s">
        <v>543</v>
      </c>
      <c r="D8" s="8" t="s">
        <v>544</v>
      </c>
    </row>
    <row r="9" customFormat="false" ht="15" hidden="false" customHeight="true" outlineLevel="0" collapsed="false">
      <c r="A9" s="8" t="n">
        <v>5</v>
      </c>
      <c r="B9" s="8" t="s">
        <v>481</v>
      </c>
      <c r="C9" s="8" t="s">
        <v>545</v>
      </c>
      <c r="D9" s="8" t="s">
        <v>546</v>
      </c>
    </row>
    <row r="10" customFormat="false" ht="15" hidden="false" customHeight="true" outlineLevel="0" collapsed="false">
      <c r="A10" s="8" t="n">
        <v>6</v>
      </c>
      <c r="B10" s="8" t="s">
        <v>481</v>
      </c>
      <c r="C10" s="8" t="s">
        <v>547</v>
      </c>
      <c r="D10" s="8" t="s">
        <v>548</v>
      </c>
    </row>
    <row r="11" customFormat="false" ht="23.25" hidden="false" customHeight="true" outlineLevel="0" collapsed="false">
      <c r="A11" s="8" t="n">
        <v>7</v>
      </c>
      <c r="B11" s="8" t="s">
        <v>481</v>
      </c>
      <c r="C11" s="8" t="s">
        <v>549</v>
      </c>
      <c r="D11" s="8" t="s">
        <v>550</v>
      </c>
    </row>
    <row r="12" customFormat="false" ht="23.25" hidden="false" customHeight="true" outlineLevel="0" collapsed="false">
      <c r="A12" s="8" t="n">
        <v>8</v>
      </c>
      <c r="B12" s="8" t="s">
        <v>481</v>
      </c>
      <c r="C12" s="8" t="s">
        <v>551</v>
      </c>
      <c r="D12" s="8" t="s">
        <v>552</v>
      </c>
    </row>
    <row r="13" customFormat="false" ht="15" hidden="false" customHeight="true" outlineLevel="0" collapsed="false">
      <c r="A13" s="8" t="n">
        <v>9</v>
      </c>
      <c r="B13" s="8" t="s">
        <v>481</v>
      </c>
      <c r="C13" s="8" t="s">
        <v>553</v>
      </c>
      <c r="D13" s="8" t="s">
        <v>554</v>
      </c>
    </row>
    <row r="14" customFormat="false" ht="15" hidden="false" customHeight="true" outlineLevel="0" collapsed="false">
      <c r="A14" s="8" t="n">
        <v>10</v>
      </c>
      <c r="B14" s="8" t="s">
        <v>481</v>
      </c>
      <c r="C14" s="8" t="s">
        <v>555</v>
      </c>
      <c r="D14" s="8" t="s">
        <v>556</v>
      </c>
    </row>
    <row r="15" customFormat="false" ht="23.25" hidden="false" customHeight="true" outlineLevel="0" collapsed="false">
      <c r="A15" s="8" t="n">
        <v>11</v>
      </c>
      <c r="B15" s="8" t="s">
        <v>557</v>
      </c>
      <c r="C15" s="8" t="s">
        <v>558</v>
      </c>
      <c r="D15" s="8" t="s">
        <v>559</v>
      </c>
    </row>
    <row r="16" customFormat="false" ht="23.25" hidden="false" customHeight="true" outlineLevel="0" collapsed="false">
      <c r="A16" s="8" t="n">
        <v>12</v>
      </c>
      <c r="B16" s="8" t="s">
        <v>560</v>
      </c>
      <c r="C16" s="8" t="s">
        <v>561</v>
      </c>
      <c r="D16" s="8" t="s">
        <v>562</v>
      </c>
    </row>
    <row r="17" customFormat="false" ht="23.25" hidden="false" customHeight="true" outlineLevel="0" collapsed="false">
      <c r="A17" s="8" t="n">
        <v>13</v>
      </c>
      <c r="B17" s="8" t="s">
        <v>560</v>
      </c>
      <c r="C17" s="8" t="s">
        <v>563</v>
      </c>
      <c r="D17" s="8" t="s">
        <v>564</v>
      </c>
    </row>
    <row r="18" customFormat="false" ht="23.25" hidden="false" customHeight="true" outlineLevel="0" collapsed="false">
      <c r="A18" s="8" t="n">
        <v>14</v>
      </c>
      <c r="B18" s="8" t="s">
        <v>560</v>
      </c>
      <c r="C18" s="8" t="s">
        <v>565</v>
      </c>
      <c r="D18" s="8" t="s">
        <v>566</v>
      </c>
    </row>
    <row r="19" customFormat="false" ht="15" hidden="false" customHeight="true" outlineLevel="0" collapsed="false">
      <c r="A19" s="8" t="n">
        <v>15</v>
      </c>
      <c r="B19" s="8" t="s">
        <v>560</v>
      </c>
      <c r="C19" s="8" t="s">
        <v>567</v>
      </c>
      <c r="D19" s="8" t="s">
        <v>568</v>
      </c>
    </row>
    <row r="20" customFormat="false" ht="23.25" hidden="false" customHeight="true" outlineLevel="0" collapsed="false">
      <c r="A20" s="8" t="n">
        <v>16</v>
      </c>
      <c r="B20" s="8" t="s">
        <v>569</v>
      </c>
      <c r="C20" s="8" t="s">
        <v>570</v>
      </c>
      <c r="D20" s="8" t="s">
        <v>571</v>
      </c>
    </row>
    <row r="21" customFormat="false" ht="15" hidden="false" customHeight="true" outlineLevel="0" collapsed="false">
      <c r="A21" s="8" t="n">
        <v>17</v>
      </c>
      <c r="B21" s="8" t="s">
        <v>569</v>
      </c>
      <c r="C21" s="8" t="s">
        <v>572</v>
      </c>
      <c r="D21" s="8" t="s">
        <v>573</v>
      </c>
    </row>
    <row r="22" customFormat="false" ht="15" hidden="false" customHeight="true" outlineLevel="0" collapsed="false">
      <c r="A22" s="8" t="n">
        <v>18</v>
      </c>
      <c r="B22" s="8" t="s">
        <v>569</v>
      </c>
      <c r="C22" s="8" t="s">
        <v>574</v>
      </c>
      <c r="D22" s="8" t="s">
        <v>575</v>
      </c>
    </row>
    <row r="23" customFormat="false" ht="15" hidden="false" customHeight="true" outlineLevel="0" collapsed="false">
      <c r="A23" s="8" t="n">
        <v>19</v>
      </c>
      <c r="B23" s="8" t="s">
        <v>569</v>
      </c>
      <c r="C23" s="8" t="s">
        <v>576</v>
      </c>
      <c r="D23" s="8" t="s">
        <v>575</v>
      </c>
    </row>
  </sheetData>
  <autoFilter ref="A4:D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2026-10-06T11:20:19Z</dcterms:created>
  <dc:creator>openpyxl</dc:creator>
  <dc:description/>
  <dc:language>en-IN</dc:language>
  <cp:lastModifiedBy/>
  <dcterms:modified xsi:type="dcterms:W3CDTF">2026-10-06T11:36:30Z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
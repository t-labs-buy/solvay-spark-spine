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mponent Mapping" sheetId="2" state="visible" r:id="rId4"/>
    <sheet name="BTP vs Azure" sheetId="3" state="visible" r:id="rId5"/>
    <sheet name="BOM" sheetId="4" state="visible" r:id="rId6"/>
    <sheet name="Re-engineering" sheetId="5" state="visible" r:id="rId7"/>
    <sheet name="Assumptions" sheetId="6" state="visible" r:id="rId8"/>
  </sheets>
  <definedNames>
    <definedName function="false" hidden="true" localSheetId="5" name="_xlnm._FilterDatabase" vbProcedure="false">Assumptions!$A$4:$D$16</definedName>
    <definedName function="false" hidden="true" localSheetId="3" name="_xlnm._FilterDatabase" vbProcedure="false">BOM!$A$5:$M$26</definedName>
    <definedName function="false" hidden="true" localSheetId="2" name="_xlnm._FilterDatabase" vbProcedure="false">'BTP vs Azure'!$A$4:$H$27</definedName>
    <definedName function="false" hidden="true" localSheetId="1" name="_xlnm._FilterDatabase" vbProcedure="false">'Component Mapping'!$A$4:$G$27</definedName>
    <definedName function="false" hidden="true" localSheetId="4" name="_xlnm._FilterDatabase" vbProcedure="false">'Re-engineering'!$A$4:$F$15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<sst xmlns="http://schemas.openxmlformats.org/spreadsheetml/2006/main" count="602" uniqueCount="403">
  <si>
    <t xml:space="preserve">Solvay Spark Spine AI – SAP BTP Bill of Materials</t>
  </si>
  <si>
    <t xml:space="preserve">Prepared 2026-10-06 · Source: solvay-spark-spine repo (compose.yml, requirements.txt, docs/system-diagram.md, docs/deployment.md)</t>
  </si>
  <si>
    <t xml:space="preserve">Purpose</t>
  </si>
  <si>
    <t xml:space="preserve">Map every component of the current containerised application to SAP BTP services and list the BTP services to procure.</t>
  </si>
  <si>
    <t xml:space="preserve">Recommended target</t>
  </si>
  <si>
    <t xml:space="preserve">Kyma runtime + SAP HANA Cloud (Vector Engine, full-text, Graph) + SAP AI Core / Generative AI Hub (Claude + Orchestration guardrails) + SAP Object Store + Cloud Identity Services (IAS) / XSUAA.</t>
  </si>
  <si>
    <t xml:space="preserve">Key consolidation</t>
  </si>
  <si>
    <t xml:space="preserve">PostgreSQL + pgvector, Ollama (bge-m3) and Neo4j collapse into one HANA Cloud instance; all LLM traffic moves behind SAP's governed AI layer.</t>
  </si>
  <si>
    <t xml:space="preserve">Commercial model</t>
  </si>
  <si>
    <t xml:space="preserve">BTPEA / CPEA credits (production) or Pay-As-You-Go (PoC). Unit prices are NOT included – take them from SAP Discovery Center estimator or the SAP quote.</t>
  </si>
  <si>
    <t xml:space="preserve">Sheets</t>
  </si>
  <si>
    <t xml:space="preserve">Component Mapping</t>
  </si>
  <si>
    <t xml:space="preserve">Current component → SAP BTP component, with the change required.</t>
  </si>
  <si>
    <t xml:space="preserve">BOM</t>
  </si>
  <si>
    <t xml:space="preserve">Services to procure, metric, Dev/Prod quantities and a cost roll-up (fill in unit prices).</t>
  </si>
  <si>
    <t xml:space="preserve">Re-engineering</t>
  </si>
  <si>
    <t xml:space="preserve">Work items needed to port the application, with effort estimates.</t>
  </si>
  <si>
    <t xml:space="preserve">Assumptions</t>
  </si>
  <si>
    <t xml:space="preserve">Sizing basis and open points to verify with SAP.</t>
  </si>
  <si>
    <t xml:space="preserve">How to fill in (legend)</t>
  </si>
  <si>
    <t xml:space="preserve">Yellow cell, blue text</t>
  </si>
  <si>
    <t xml:space="preserve">Input: edit these (BOM quantities and Unit price per month). Example format: Unit price 1250 = 1,250 per unit per month in the currency set on the BOM sheet.</t>
  </si>
  <si>
    <t xml:space="preserve">Black text</t>
  </si>
  <si>
    <t xml:space="preserve">Formula: do not overwrite (monthly and annual cost, totals).</t>
  </si>
  <si>
    <t xml:space="preserve">Component mapping: current stack → SAP BTP</t>
  </si>
  <si>
    <t xml:space="preserve">One row per current component</t>
  </si>
  <si>
    <t xml:space="preserve">#</t>
  </si>
  <si>
    <t xml:space="preserve">Layer</t>
  </si>
  <si>
    <t xml:space="preserve">Current component</t>
  </si>
  <si>
    <t xml:space="preserve">Role in application</t>
  </si>
  <si>
    <t xml:space="preserve">SAP BTP component</t>
  </si>
  <si>
    <t xml:space="preserve">Change needed / notes</t>
  </si>
  <si>
    <t xml:space="preserve">Effort (L/M/H)</t>
  </si>
  <si>
    <t xml:space="preserve">Presentation</t>
  </si>
  <si>
    <t xml:space="preserve">React SPA (Vite, MUI), served by FastAPI</t>
  </si>
  <si>
    <t xml:space="preserve">Extract, Ask, Graph, Evidence, InsightLens, Fit-Gap Copilot pages</t>
  </si>
  <si>
    <t xml:space="preserve">HTML5 Application Repository + Managed Approuter (via SAP Build Work Zone, standard edition)</t>
  </si>
  <si>
    <t xml:space="preserve">Keep React as-is; Fiori/UI5 rewrite optional.</t>
  </si>
  <si>
    <t xml:space="preserve">L</t>
  </si>
  <si>
    <t xml:space="preserve">Application</t>
  </si>
  <si>
    <t xml:space="preserve">FastAPI backend (backend/api), uvicorn :8000</t>
  </si>
  <si>
    <t xml:space="preserve">REST + SSE API, orchestration</t>
  </si>
  <si>
    <t xml:space="preserve">SAP BTP, Kyma runtime (container)</t>
  </si>
  <si>
    <t xml:space="preserve">Kyma rather than Cloud Foundry: the ~3–4 GB image needs LibreOffice, Poppler, Tesseract, torch and WeasyPrint system libraries.</t>
  </si>
  <si>
    <t xml:space="preserve">Ingestion</t>
  </si>
  <si>
    <t xml:space="preserve">Docling + Tesseract OCR + OpenCV table/flow CV (backend/ingestion)</t>
  </si>
  <si>
    <t xml:space="preserve">Documents → Markdown</t>
  </si>
  <si>
    <t xml:space="preserve">Kyma runtime (worker deployment); optional GPU node pool</t>
  </si>
  <si>
    <t xml:space="preserve">No BTP equivalent covers this; Document Information Extraction only handles forms/invoices. Keep Docling.</t>
  </si>
  <si>
    <t xml:space="preserve">Cloud VLM – OpenAI / Claude vision (optional)</t>
  </si>
  <si>
    <t xml:space="preserve">Reads images inside documents</t>
  </si>
  <si>
    <t xml:space="preserve">SAP Generative AI Hub (SAP AI Core) – GPT-4o / Claude / Gemini vision</t>
  </si>
  <si>
    <t xml:space="preserve">Change vlm_api.py to call AI Core instead of vendor APIs.</t>
  </si>
  <si>
    <t xml:space="preserve">AI / LLM</t>
  </si>
  <si>
    <t xml:space="preserve">Anthropic Claude (Opus / Sonnet / Haiku)</t>
  </si>
  <si>
    <t xml:space="preserve">Answers, agent tool loops, NL→Cypher, Ragas judge, scope classifier</t>
  </si>
  <si>
    <t xml:space="preserve">Generative AI Hub – Anthropic Claude (AWS Bedrock partner models) via Orchestration service</t>
  </si>
  <si>
    <t xml:space="preserve">Swap anthropic SDK for SAP Cloud SDK for AI / generative-ai-hub-sdk. Verify which Claude versions are offered.</t>
  </si>
  <si>
    <t xml:space="preserve">M</t>
  </si>
  <si>
    <t xml:space="preserve">Ollama + bge-m3 (1024-d)</t>
  </si>
  <si>
    <t xml:space="preserve">Embeddings</t>
  </si>
  <si>
    <t xml:space="preserve">HANA Cloud VECTOR_EMBEDDING() or GenAI Hub embedding model (e.g. text-embedding-3-large); or bge-m3 self-hosted on AI Core</t>
  </si>
  <si>
    <t xml:space="preserve">Full corpus re-embed when model/dimension changes.</t>
  </si>
  <si>
    <t xml:space="preserve">Data</t>
  </si>
  <si>
    <t xml:space="preserve">PostgreSQL 18 + pgvector + full-text/BM25 (rag_documents, rag_chunks)</t>
  </si>
  <si>
    <t xml:space="preserve">Hybrid vector + keyword retrieval</t>
  </si>
  <si>
    <t xml:space="preserve">SAP HANA Cloud – Vector Engine (REAL_VECTOR, COSINE_SIMILARITY) + full-text index (CONTAINS / fuzzy)</t>
  </si>
  <si>
    <t xml:space="preserve">Port rag.py SQL to hdbcli. Lift-and-shift alternative: PostgreSQL on SAP BTP, hyperscaler option (confirm pgvector).</t>
  </si>
  <si>
    <t xml:space="preserve">H</t>
  </si>
  <si>
    <t xml:space="preserve">PostgreSQL run stores (agent runs, Ragas scores, users)</t>
  </si>
  <si>
    <t xml:space="preserve">History and state</t>
  </si>
  <si>
    <t xml:space="preserve">SAP HANA Cloud (HDI container / schema)</t>
  </si>
  <si>
    <t xml:space="preserve">Same instance as the vector store.</t>
  </si>
  <si>
    <t xml:space="preserve">docling_session DB (one schema per upload)</t>
  </si>
  <si>
    <t xml:space="preserve">Isolated session attachments</t>
  </si>
  <si>
    <t xml:space="preserve">SAP HANA Cloud – schema per session or session-keyed tables</t>
  </si>
  <si>
    <t xml:space="preserve">Redesign schema-per-upload as session-keyed tables, or create schemas dynamically.</t>
  </si>
  <si>
    <t xml:space="preserve">Graph</t>
  </si>
  <si>
    <t xml:space="preserve">Neo4j 5 Community + APOC</t>
  </si>
  <si>
    <t xml:space="preserve">Graph copy, Cypher view</t>
  </si>
  <si>
    <t xml:space="preserve">HANA Cloud Graph Engine (openCypher via OPENCYPHER_TABLE) or HANA Cloud Knowledge Graph Engine (RDF/SPARQL)</t>
  </si>
  <si>
    <t xml:space="preserve">openCypher subset: rework APOC usage and NL→Cypher prompts. Neo4j Browser → HANA Database Explorer.</t>
  </si>
  <si>
    <t xml:space="preserve">Storage</t>
  </si>
  <si>
    <t xml:space="preserve">knowledge_graph.json, Markdown corpus (solvay-spark/, knowledge_base/), .workdir renders</t>
  </si>
  <si>
    <t xml:space="preserve">File storage</t>
  </si>
  <si>
    <t xml:space="preserve">SAP Object Store on BTP (S3-compatible) or SAP Document Management Service</t>
  </si>
  <si>
    <t xml:space="preserve">Replaces Docker volumes and rsync. DMS adds versioning and a repository UI.</t>
  </si>
  <si>
    <t xml:space="preserve">Agents</t>
  </si>
  <si>
    <t xml:space="preserve">Evidence Agent, InsightLens, Fit-Gap Copilot (custom tool-use loops)</t>
  </si>
  <si>
    <t xml:space="preserve">Core business logic</t>
  </si>
  <si>
    <t xml:space="preserve">Kyma runtime + Generative AI Hub</t>
  </si>
  <si>
    <t xml:space="preserve">Keep code. Optionally expose to Joule via Joule Studio (SAP Build) later.</t>
  </si>
  <si>
    <t xml:space="preserve">RAG pipeline (heading-aware chunker, hybrid search)</t>
  </si>
  <si>
    <t xml:space="preserve">Retrieval</t>
  </si>
  <si>
    <t xml:space="preserve">Custom on Kyma, or GenAI Hub Document Grounding</t>
  </si>
  <si>
    <t xml:space="preserve">Recommend keeping custom: Grounding loses heading-aware chunking and BM25 tuning.</t>
  </si>
  <si>
    <t xml:space="preserve">Security</t>
  </si>
  <si>
    <t xml:space="preserve">Guardrails: scope check (Haiku), contact-detail redactor</t>
  </si>
  <si>
    <t xml:space="preserve">Safety</t>
  </si>
  <si>
    <t xml:space="preserve">Orchestration service – content filtering + data masking (PII anonymisation)</t>
  </si>
  <si>
    <t xml:space="preserve">Data masking replaces the redactor; domain scope classifier stays custom.</t>
  </si>
  <si>
    <t xml:space="preserve">Hindsight agent memory (own image)</t>
  </si>
  <si>
    <t xml:space="preserve">Recall and retain</t>
  </si>
  <si>
    <t xml:space="preserve">Kyma runtime (separate deployment) + HANA Cloud / PostgreSQL hyperscaler storage</t>
  </si>
  <si>
    <t xml:space="preserve">LLM calls must route via GenAI Hub (LiteLLM adapter/proxy), or rebuild memory on HANA vector tables.</t>
  </si>
  <si>
    <t xml:space="preserve">Observability</t>
  </si>
  <si>
    <t xml:space="preserve">Langfuse Cloud (traces, scores) + Ragas</t>
  </si>
  <si>
    <t xml:space="preserve">Observability and evaluation</t>
  </si>
  <si>
    <t xml:space="preserve">SAP Cloud Logging (OpenTelemetry) + SAP AI Launchpad (prompt mgmt, GenAI evaluations); or self-hosted Langfuse on Kyma</t>
  </si>
  <si>
    <t xml:space="preserve">Ragas stays in code.</t>
  </si>
  <si>
    <t xml:space="preserve">Local accounts, AUTH_SECRET, Admin tab</t>
  </si>
  <si>
    <t xml:space="preserve">Authentication and roles</t>
  </si>
  <si>
    <t xml:space="preserve">SAP Cloud Identity Services – Identity Authentication (IAS) + XSUAA role collections</t>
  </si>
  <si>
    <t xml:space="preserve">Federate with corporate IdP (Entra ID) for SSO; Admin tab → role-collection assignment.</t>
  </si>
  <si>
    <t xml:space="preserve">.env secrets (API keys, DB passwords)</t>
  </si>
  <si>
    <t xml:space="preserve">Secrets</t>
  </si>
  <si>
    <t xml:space="preserve">SAP Credential Store + service bindings</t>
  </si>
  <si>
    <t xml:space="preserve">Network</t>
  </si>
  <si>
    <t xml:space="preserve">TLS reverse proxy (not yet in place)</t>
  </si>
  <si>
    <t xml:space="preserve">HTTPS ingress</t>
  </si>
  <si>
    <t xml:space="preserve">Kyma API Gateway (Istio APIRule) + Approuter</t>
  </si>
  <si>
    <t xml:space="preserve">Closes the current no-TLS gap.</t>
  </si>
  <si>
    <t xml:space="preserve">DevOps</t>
  </si>
  <si>
    <t xml:space="preserve">reg.ivolve.cloud registry, docker-publish.sh</t>
  </si>
  <si>
    <t xml:space="preserve">Build and ship</t>
  </si>
  <si>
    <t xml:space="preserve">SAP Continuous Integration and Delivery + external container registry + Cloud Transport Management</t>
  </si>
  <si>
    <t xml:space="preserve">BTP has no container registry of its own.</t>
  </si>
  <si>
    <t xml:space="preserve">Exports: WeasyPrint PDF, python-docx, openpyxl</t>
  </si>
  <si>
    <t xml:space="preserve">Workshop pack exports</t>
  </si>
  <si>
    <t xml:space="preserve">Keep in container; optional SAP Forms service by Adobe</t>
  </si>
  <si>
    <t xml:space="preserve">Integration</t>
  </si>
  <si>
    <t xml:space="preserve">(Future) BPML / S/4 sources</t>
  </si>
  <si>
    <t xml:space="preserve">Process hierarchy, As-Is</t>
  </si>
  <si>
    <t xml:space="preserve">Destination + Connectivity service + SAP Cloud Connector; SAP Cloud ALM / Signavio APIs</t>
  </si>
  <si>
    <t xml:space="preserve">Pull BPML and Global Template directly instead of file exports.</t>
  </si>
  <si>
    <t xml:space="preserve">Operations</t>
  </si>
  <si>
    <t xml:space="preserve">docker logs, /api/health</t>
  </si>
  <si>
    <t xml:space="preserve">Monitoring</t>
  </si>
  <si>
    <t xml:space="preserve">SAP Cloud Logging, Alert Notification, SAP Cloud ALM, Audit Log service</t>
  </si>
  <si>
    <t xml:space="preserve">Audit logging needed because prompts contain client data.</t>
  </si>
  <si>
    <t xml:space="preserve">Component mapping: current stack → SAP BTP vs Microsoft Azure</t>
  </si>
  <si>
    <t xml:space="preserve">Same mapping in both workbooks (see also azure-bom.xlsx). Effort: L = configuration only, M = moderate code change, H = significant rework.</t>
  </si>
  <si>
    <t xml:space="preserve">Role</t>
  </si>
  <si>
    <t xml:space="preserve">BTP effort</t>
  </si>
  <si>
    <t xml:space="preserve">Microsoft Azure component</t>
  </si>
  <si>
    <t xml:space="preserve">Azure effort</t>
  </si>
  <si>
    <t xml:space="preserve">React SPA (Vite, MUI)</t>
  </si>
  <si>
    <t xml:space="preserve">Web UI</t>
  </si>
  <si>
    <t xml:space="preserve">HTML5 Application Repository + Managed Approuter (SAP Build Work Zone)</t>
  </si>
  <si>
    <t xml:space="preserve">Served by the app container, or Azure Static Web Apps</t>
  </si>
  <si>
    <t xml:space="preserve">FastAPI backend (uvicorn :8000)</t>
  </si>
  <si>
    <t xml:space="preserve">REST + SSE API</t>
  </si>
  <si>
    <t xml:space="preserve">Azure Container Apps (Dedicated D8)</t>
  </si>
  <si>
    <t xml:space="preserve">Docling + Tesseract OCR + OpenCV</t>
  </si>
  <si>
    <t xml:space="preserve">Kyma runtime (optional GPU node pool)</t>
  </si>
  <si>
    <t xml:space="preserve">Azure Container Apps (optional serverless T4 GPU)</t>
  </si>
  <si>
    <t xml:space="preserve">Cloud VLM (OpenAI / Claude vision)</t>
  </si>
  <si>
    <t xml:space="preserve">Reads images in documents</t>
  </si>
  <si>
    <t xml:space="preserve">Generative AI Hub (SAP AI Core) vision models</t>
  </si>
  <si>
    <t xml:space="preserve">Microsoft Foundry (GPT vision / Claude)</t>
  </si>
  <si>
    <t xml:space="preserve">Answers, agents, NL→Cypher, judge, scope check</t>
  </si>
  <si>
    <t xml:space="preserve">Generative AI Hub – Claude via Bedrock partner models + Orchestration service</t>
  </si>
  <si>
    <t xml:space="preserve">Microsoft Foundry – Claude (Hosted on Azure), same Anthropic Messages API</t>
  </si>
  <si>
    <t xml:space="preserve">HANA Cloud VECTOR_EMBEDDING() or GenAI Hub embeddings – full re-embed</t>
  </si>
  <si>
    <t xml:space="preserve">Keep bge-m3 on Container Apps (no re-embed), or Azure OpenAI text-embedding-3-large</t>
  </si>
  <si>
    <t xml:space="preserve">PostgreSQL 18 + pgvector + BM25</t>
  </si>
  <si>
    <t xml:space="preserve">Hybrid retrieval</t>
  </si>
  <si>
    <t xml:space="preserve">SAP HANA Cloud – Vector Engine + full-text index (SQL port)</t>
  </si>
  <si>
    <t xml:space="preserve">Azure Database for PostgreSQL Flexible Server (restore existing dump)</t>
  </si>
  <si>
    <t xml:space="preserve">Postgres run stores</t>
  </si>
  <si>
    <t xml:space="preserve">Run history, scores, users</t>
  </si>
  <si>
    <t xml:space="preserve">SAP HANA Cloud (HDI container)</t>
  </si>
  <si>
    <t xml:space="preserve">PostgreSQL Flexible Server (same server)</t>
  </si>
  <si>
    <t xml:space="preserve">docling_session DB (schema per upload)</t>
  </si>
  <si>
    <t xml:space="preserve">Isolated session uploads</t>
  </si>
  <si>
    <t xml:space="preserve">HANA Cloud schema or session-keyed tables (redesign)</t>
  </si>
  <si>
    <t xml:space="preserve">PostgreSQL Flexible Server – second database</t>
  </si>
  <si>
    <t xml:space="preserve">HANA Cloud Graph Engine (openCypher subset) or Knowledge Graph Engine (SPARQL)</t>
  </si>
  <si>
    <t xml:space="preserve">Apache AGE on PostgreSQL (openCypher), or Neo4j AuraDB (Marketplace)</t>
  </si>
  <si>
    <t xml:space="preserve">Markdown corpus, knowledge_graph.json, .workdir</t>
  </si>
  <si>
    <t xml:space="preserve">SAP Object Store or Document Management Service</t>
  </si>
  <si>
    <t xml:space="preserve">Azure Files (mounted) + Blob Storage</t>
  </si>
  <si>
    <t xml:space="preserve">Evidence Agent, InsightLens, Fit-Gap Copilot</t>
  </si>
  <si>
    <t xml:space="preserve">Agent logic</t>
  </si>
  <si>
    <t xml:space="preserve">Kyma + Generative AI Hub (optional Joule Studio later)</t>
  </si>
  <si>
    <t xml:space="preserve">Container Apps + Microsoft Foundry (optional Teams / Copilot Studio later)</t>
  </si>
  <si>
    <t xml:space="preserve">RAG pipeline (chunker, hybrid search)</t>
  </si>
  <si>
    <t xml:space="preserve">Custom on Container Apps, or Azure AI Search</t>
  </si>
  <si>
    <t xml:space="preserve">Guardrails (scope check, contact redactor)</t>
  </si>
  <si>
    <t xml:space="preserve">Orchestration service – content filtering + data masking</t>
  </si>
  <si>
    <t xml:space="preserve">Azure AI Content Safety + Azure AI Language PII detection</t>
  </si>
  <si>
    <t xml:space="preserve">Hindsight agent memory</t>
  </si>
  <si>
    <t xml:space="preserve">Recall / retain</t>
  </si>
  <si>
    <t xml:space="preserve">Kyma + HANA / PostgreSQL hyperscaler; LLM calls need AI Core adapter</t>
  </si>
  <si>
    <t xml:space="preserve">Container Apps + PostgreSQL; LiteLLM supports Foundry natively</t>
  </si>
  <si>
    <t xml:space="preserve">Langfuse Cloud + Ragas</t>
  </si>
  <si>
    <t xml:space="preserve">Tracing and evaluation</t>
  </si>
  <si>
    <t xml:space="preserve">SAP Cloud Logging + AI Launchpad, or self-hosted Langfuse</t>
  </si>
  <si>
    <t xml:space="preserve">Application Insights + Foundry evaluations, or self-hosted Langfuse</t>
  </si>
  <si>
    <t xml:space="preserve">Local accounts, Admin tab</t>
  </si>
  <si>
    <t xml:space="preserve">Sign-in and roles</t>
  </si>
  <si>
    <t xml:space="preserve">Cloud Identity Services (IAS) + XSUAA role collections</t>
  </si>
  <si>
    <t xml:space="preserve">Microsoft Entra ID app roles + Container Apps built-in auth</t>
  </si>
  <si>
    <t xml:space="preserve">.env secrets</t>
  </si>
  <si>
    <t xml:space="preserve">SAP Credential Store</t>
  </si>
  <si>
    <t xml:space="preserve">Azure Key Vault + managed identities</t>
  </si>
  <si>
    <t xml:space="preserve">TLS reverse proxy (missing today)</t>
  </si>
  <si>
    <t xml:space="preserve">Azure Front Door Premium (WAF) + private endpoints</t>
  </si>
  <si>
    <t xml:space="preserve">reg.ivolve.cloud, docker-publish.sh</t>
  </si>
  <si>
    <t xml:space="preserve">SAP CI/CD service + external registry + Cloud Transport Management</t>
  </si>
  <si>
    <t xml:space="preserve">Azure Container Registry + GitHub Actions / Azure DevOps</t>
  </si>
  <si>
    <t xml:space="preserve">WeasyPrint / python-docx / openpyxl exports</t>
  </si>
  <si>
    <t xml:space="preserve">In container (optional SAP Forms service by Adobe)</t>
  </si>
  <si>
    <t xml:space="preserve">In container (optional SharePoint via Microsoft Graph)</t>
  </si>
  <si>
    <t xml:space="preserve">Process data</t>
  </si>
  <si>
    <t xml:space="preserve">Destination + Connectivity + Cloud Connector; Cloud ALM / Signavio APIs</t>
  </si>
  <si>
    <t xml:space="preserve">Logic Apps SAP connector + on-premises data gateway</t>
  </si>
  <si>
    <t xml:space="preserve">Monitoring and audit</t>
  </si>
  <si>
    <t xml:space="preserve">Cloud Logging, Alert Notification, Cloud ALM, Audit Log service</t>
  </si>
  <si>
    <t xml:space="preserve">Azure Monitor / Log Analytics, alerts, Defender for Cloud</t>
  </si>
  <si>
    <t xml:space="preserve">Count of components</t>
  </si>
  <si>
    <t xml:space="preserve">Low effort</t>
  </si>
  <si>
    <t xml:space="preserve">Medium effort</t>
  </si>
  <si>
    <t xml:space="preserve">High effort</t>
  </si>
  <si>
    <t xml:space="preserve">Key difference: Azure is close to a lift-and-shift (Postgres, pgvector, bge-m3 and the Anthropic API all stay); SAP BTP needs a HANA port, a re-embed, a graph migration and an AI Core LLM client. Re-engineering estimate ≈ 11 person-weeks (Azure) vs 17.5 (BTP).</t>
  </si>
  <si>
    <t xml:space="preserve">Bill of materials – SAP BTP services</t>
  </si>
  <si>
    <t xml:space="preserve">Quantities are sizing starting points. Enter unit prices (per unit per month) from the SAP quote / Discovery Center estimator.</t>
  </si>
  <si>
    <t xml:space="preserve">Currency</t>
  </si>
  <si>
    <t xml:space="preserve">EUR</t>
  </si>
  <si>
    <t xml:space="preserve">Line</t>
  </si>
  <si>
    <t xml:space="preserve">Category</t>
  </si>
  <si>
    <t xml:space="preserve">SAP BTP service</t>
  </si>
  <si>
    <t xml:space="preserve">Service plan</t>
  </si>
  <si>
    <t xml:space="preserve">Metric / unit</t>
  </si>
  <si>
    <t xml:space="preserve">Required?</t>
  </si>
  <si>
    <t xml:space="preserve">Maps current component(s)</t>
  </si>
  <si>
    <t xml:space="preserve">Dev qty</t>
  </si>
  <si>
    <t xml:space="preserve">Prod qty</t>
  </si>
  <si>
    <t xml:space="preserve">Unit price / month</t>
  </si>
  <si>
    <t xml:space="preserve">Monthly cost</t>
  </si>
  <si>
    <t xml:space="preserve">Annual cost</t>
  </si>
  <si>
    <t xml:space="preserve">Sizing note</t>
  </si>
  <si>
    <t xml:space="preserve">Runtime</t>
  </si>
  <si>
    <t xml:space="preserve">SAP BTP, Kyma runtime</t>
  </si>
  <si>
    <t xml:space="preserve">kyma</t>
  </si>
  <si>
    <t xml:space="preserve">Capacity units (node-hours)</t>
  </si>
  <si>
    <t xml:space="preserve">Required</t>
  </si>
  <si>
    <t xml:space="preserve">FastAPI, Docling ingestion, agents, Hindsight</t>
  </si>
  <si>
    <t xml:space="preserve">Prod: 3 × 4 vCPU/16 GB worker nodes; Dev: 1 small cluster.</t>
  </si>
  <si>
    <t xml:space="preserve">Kyma GPU node pool</t>
  </si>
  <si>
    <t xml:space="preserve">kyma (GPU machine type)</t>
  </si>
  <si>
    <t xml:space="preserve">Node</t>
  </si>
  <si>
    <t xml:space="preserve">Optional</t>
  </si>
  <si>
    <t xml:space="preserve">Docling / OCR acceleration</t>
  </si>
  <si>
    <t xml:space="preserve">e.g. 1 × T4/L4 for faster conversion of large decks.</t>
  </si>
  <si>
    <t xml:space="preserve">Database</t>
  </si>
  <si>
    <t xml:space="preserve">SAP HANA Cloud, HANA database</t>
  </si>
  <si>
    <t xml:space="preserve">hana</t>
  </si>
  <si>
    <t xml:space="preserve">Capacity units (memory/vCPU/storage)</t>
  </si>
  <si>
    <t xml:space="preserve">PostgreSQL + pgvector, run stores, session DB, Neo4j</t>
  </si>
  <si>
    <t xml:space="preserve">Prod 32 GB / 2 vCPU / ~120 GB storage; Dev 16 GB. Vector + Graph engines.</t>
  </si>
  <si>
    <t xml:space="preserve">AI</t>
  </si>
  <si>
    <t xml:space="preserve">SAP AI Core</t>
  </si>
  <si>
    <t xml:space="preserve">extended</t>
  </si>
  <si>
    <t xml:space="preserve">Tenant</t>
  </si>
  <si>
    <t xml:space="preserve">Claude, embeddings, vision access</t>
  </si>
  <si>
    <t xml:space="preserve">Extended plan is mandatory for Generative AI Hub.</t>
  </si>
  <si>
    <t xml:space="preserve">Generative AI Hub (Claude, embeddings, vision, Orchestration)</t>
  </si>
  <si>
    <t xml:space="preserve">via AI Core extended</t>
  </si>
  <si>
    <t xml:space="preserve">AI units (token based)</t>
  </si>
  <si>
    <t xml:space="preserve">Anthropic API, Ollama bge-m3, VLM, guardrails</t>
  </si>
  <si>
    <t xml:space="preserve">Size from Langfuse token history; Fit-Gap Copilot ~120k input tokens per run.</t>
  </si>
  <si>
    <t xml:space="preserve">SAP AI Launchpad</t>
  </si>
  <si>
    <t xml:space="preserve">standard</t>
  </si>
  <si>
    <t xml:space="preserve">Langfuse prompt mgmt / evaluations</t>
  </si>
  <si>
    <t xml:space="preserve">SAP Object Store on BTP</t>
  </si>
  <si>
    <t xml:space="preserve">GB</t>
  </si>
  <si>
    <t xml:space="preserve">Markdown corpus, knowledge_graph.json, .workdir renders</t>
  </si>
  <si>
    <t xml:space="preserve">~50–100 GB corpus + renders in Prod.</t>
  </si>
  <si>
    <t xml:space="preserve">SAP Document Management Service, integration option</t>
  </si>
  <si>
    <t xml:space="preserve">GB / users</t>
  </si>
  <si>
    <t xml:space="preserve">Corpus repository with versioning</t>
  </si>
  <si>
    <t xml:space="preserve">Alternative/addition to Object Store if business users manage the corpus.</t>
  </si>
  <si>
    <t xml:space="preserve">SAP Cloud Identity Services (IAS)</t>
  </si>
  <si>
    <t xml:space="preserve">default</t>
  </si>
  <si>
    <t xml:space="preserve">Local accounts / sign-in</t>
  </si>
  <si>
    <t xml:space="preserve">Federated to corporate IdP.</t>
  </si>
  <si>
    <t xml:space="preserve">Authorization &amp; Trust Management (XSUAA)</t>
  </si>
  <si>
    <t xml:space="preserve">application</t>
  </si>
  <si>
    <t xml:space="preserve">Instance</t>
  </si>
  <si>
    <t xml:space="preserve">Roles / Admin tab</t>
  </si>
  <si>
    <t xml:space="preserve">Included in BTP.</t>
  </si>
  <si>
    <t xml:space="preserve">Audit Log service</t>
  </si>
  <si>
    <t xml:space="preserve">standard / premium</t>
  </si>
  <si>
    <t xml:space="preserve">Compliance for client data in prompts</t>
  </si>
  <si>
    <t xml:space="preserve">UI</t>
  </si>
  <si>
    <t xml:space="preserve">HTML5 Application Repository</t>
  </si>
  <si>
    <t xml:space="preserve">app-host / app-runtime</t>
  </si>
  <si>
    <t xml:space="preserve">React SPA</t>
  </si>
  <si>
    <t xml:space="preserve">SAP Build Work Zone, standard edition</t>
  </si>
  <si>
    <t xml:space="preserve">Site</t>
  </si>
  <si>
    <t xml:space="preserve">Launchpad / managed approuter</t>
  </si>
  <si>
    <t xml:space="preserve">Can be replaced by Managed Approuter only.</t>
  </si>
  <si>
    <t xml:space="preserve">SAP Cloud Logging</t>
  </si>
  <si>
    <t xml:space="preserve">standard / large</t>
  </si>
  <si>
    <t xml:space="preserve">Langfuse traces, docker logs</t>
  </si>
  <si>
    <t xml:space="preserve">Alert Notification</t>
  </si>
  <si>
    <t xml:space="preserve">Health alerting</t>
  </si>
  <si>
    <t xml:space="preserve">SAP Continuous Integration and Delivery</t>
  </si>
  <si>
    <t xml:space="preserve">docker-publish.sh pipeline</t>
  </si>
  <si>
    <t xml:space="preserve">One instance serves both landscapes.</t>
  </si>
  <si>
    <t xml:space="preserve">Cloud Transport Management</t>
  </si>
  <si>
    <t xml:space="preserve">Dev → Prod promotion</t>
  </si>
  <si>
    <t xml:space="preserve">Destination + Connectivity service + Cloud Connector</t>
  </si>
  <si>
    <t xml:space="preserve">lite</t>
  </si>
  <si>
    <t xml:space="preserve">Future S/4, Solution Manager, Cloud ALM / Signavio feeds</t>
  </si>
  <si>
    <t xml:space="preserve">Only if integrating SAP back-ends.</t>
  </si>
  <si>
    <t xml:space="preserve">PostgreSQL on SAP BTP, hyperscaler option</t>
  </si>
  <si>
    <t xml:space="preserve">Alternative</t>
  </si>
  <si>
    <t xml:space="preserve">Lift-and-shift of Postgres + pgvector / Hindsight</t>
  </si>
  <si>
    <t xml:space="preserve">Set qty if choosing lift-and-shift instead of HANA Cloud.</t>
  </si>
  <si>
    <t xml:space="preserve">SAP Forms service by Adobe</t>
  </si>
  <si>
    <t xml:space="preserve">Requests</t>
  </si>
  <si>
    <t xml:space="preserve">WeasyPrint PDF exports</t>
  </si>
  <si>
    <t xml:space="preserve">Only if PDF output must be SAP-governed.</t>
  </si>
  <si>
    <t xml:space="preserve">Total – Required</t>
  </si>
  <si>
    <t xml:space="preserve">Total – Optional</t>
  </si>
  <si>
    <t xml:space="preserve">Total – all lines (excl. Alternative)</t>
  </si>
  <si>
    <t xml:space="preserve">Note: Unit prices intentionally left blank – no SAP list prices are assumed. Totals show '-' until prices are entered. Costs are in the currency set in B3.</t>
  </si>
  <si>
    <t xml:space="preserve">Re-engineering work items</t>
  </si>
  <si>
    <t xml:space="preserve">Effort in person-weeks is a first estimate; refine during planning</t>
  </si>
  <si>
    <t xml:space="preserve">Work item</t>
  </si>
  <si>
    <t xml:space="preserve">Scope</t>
  </si>
  <si>
    <t xml:space="preserve">Affected code</t>
  </si>
  <si>
    <t xml:space="preserve">Effort (person-weeks)</t>
  </si>
  <si>
    <t xml:space="preserve">Risk</t>
  </si>
  <si>
    <t xml:space="preserve">Database layer to HANA Cloud</t>
  </si>
  <si>
    <t xml:space="preserve">Port psycopg/pgvector SQL to hdbcli/SQLAlchemy-HANA; hybrid search via COSINE_SIMILARITY + CONTAINS; run stores; session isolation</t>
  </si>
  <si>
    <t xml:space="preserve">backend/rag/rag.py, */store.py</t>
  </si>
  <si>
    <t xml:space="preserve">High</t>
  </si>
  <si>
    <t xml:space="preserve">Re-embed corpus</t>
  </si>
  <si>
    <t xml:space="preserve">Choose embedding model (HANA VECTOR_EMBEDDING / GenAI Hub), re-index all chunks, re-tune retrieval</t>
  </si>
  <si>
    <t xml:space="preserve">backend/rag</t>
  </si>
  <si>
    <t xml:space="preserve">Medium</t>
  </si>
  <si>
    <t xml:space="preserve">LLM client to Generative AI Hub</t>
  </si>
  <si>
    <t xml:space="preserve">Replace anthropic SDK with Orchestration client; verify tool use, streaming, model versions</t>
  </si>
  <si>
    <t xml:space="preserve">backend/agents, backend/rag, backend/graph</t>
  </si>
  <si>
    <t xml:space="preserve">Guardrails to Orchestration</t>
  </si>
  <si>
    <t xml:space="preserve">Content filtering + data masking config; keep domain scope classifier</t>
  </si>
  <si>
    <t xml:space="preserve">backend/agents/guardrails</t>
  </si>
  <si>
    <t xml:space="preserve">Low</t>
  </si>
  <si>
    <t xml:space="preserve">Graph to HANA Graph Engine</t>
  </si>
  <si>
    <t xml:space="preserve">Migrate graph load, replace APOC, re-prompt NL→Cypher for openCypher subset, graph quality checks</t>
  </si>
  <si>
    <t xml:space="preserve">backend/graph/kg_neo4j_load.py, kg_nl2cypher.py</t>
  </si>
  <si>
    <t xml:space="preserve">Authentication to IAS / XSUAA</t>
  </si>
  <si>
    <t xml:space="preserve">JWT validation in FastAPI, role collections, Approuter, IdP federation</t>
  </si>
  <si>
    <t xml:space="preserve">backend/api</t>
  </si>
  <si>
    <t xml:space="preserve">Storage to Object Store / DMS</t>
  </si>
  <si>
    <t xml:space="preserve">Replace volumes and rsync with S3 API for corpus, graph JSON, renders</t>
  </si>
  <si>
    <t xml:space="preserve">backend/core, backend/ingestion</t>
  </si>
  <si>
    <t xml:space="preserve">Hindsight memory</t>
  </si>
  <si>
    <t xml:space="preserve">Route LLM calls via GenAI Hub (LiteLLM adapter) or rebuild on HANA vectors</t>
  </si>
  <si>
    <t xml:space="preserve">backend/agents/fitgap/memory.py, Dockerfile.hindsight</t>
  </si>
  <si>
    <t xml:space="preserve">OpenTelemetry to Cloud Logging and/or self-hosted Langfuse; AI Launchpad evaluations</t>
  </si>
  <si>
    <t xml:space="preserve">backend/core/tracing.py, evaluation.py</t>
  </si>
  <si>
    <t xml:space="preserve">Kyma deployment &amp; CI/CD</t>
  </si>
  <si>
    <t xml:space="preserve">Helm/manifests, APIRules, service bindings, CI/CD pipeline, transports</t>
  </si>
  <si>
    <t xml:space="preserve">Dockerfile, scripts/</t>
  </si>
  <si>
    <t xml:space="preserve">Testing &amp; cut-over</t>
  </si>
  <si>
    <t xml:space="preserve">Regression of RAG, agents, Fit-Gap outputs vs current; data migration; UAT</t>
  </si>
  <si>
    <t xml:space="preserve">backend/tests</t>
  </si>
  <si>
    <t xml:space="preserve">Total</t>
  </si>
  <si>
    <t xml:space="preserve">Assumptions and open points</t>
  </si>
  <si>
    <t xml:space="preserve">Verify open points with SAP before finalising the BOM</t>
  </si>
  <si>
    <t xml:space="preserve">Type</t>
  </si>
  <si>
    <t xml:space="preserve">Item</t>
  </si>
  <si>
    <t xml:space="preserve">Source / basis</t>
  </si>
  <si>
    <t xml:space="preserve">Assumption</t>
  </si>
  <si>
    <t xml:space="preserve">Current app image is ~3–4 GB and needs OS packages (LibreOffice, Poppler, Tesseract, pango/cairo) – hence Kyma, not Cloud Foundry.</t>
  </si>
  <si>
    <t xml:space="preserve">docs/deployment.md, Dockerfile</t>
  </si>
  <si>
    <t xml:space="preserve">Knowledge graph ~11k nodes / ~21k relationships; Neo4j sized at 512 MB heap today – small for HANA Graph.</t>
  </si>
  <si>
    <t xml:space="preserve">compose.neo4j.yml</t>
  </si>
  <si>
    <t xml:space="preserve">Render storage ~20 MB per large deck (144 slides), never auto-cleaned.</t>
  </si>
  <si>
    <t xml:space="preserve">README.md</t>
  </si>
  <si>
    <t xml:space="preserve">Fit-Gap Copilot run ≈ 120k input tokens (basis for GenAI Hub sizing).</t>
  </si>
  <si>
    <t xml:space="preserve">Application UI estimate</t>
  </si>
  <si>
    <t xml:space="preserve">Prod Kyma: 3 worker nodes (4 vCPU/16 GB) for HA; Dev: 1 small cluster.</t>
  </si>
  <si>
    <t xml:space="preserve">Sizing starting point – to validate under load test</t>
  </si>
  <si>
    <t xml:space="preserve">HANA Cloud Prod 32 GB / 2 vCPU; Dev 16 GB.</t>
  </si>
  <si>
    <t xml:space="preserve">Sizing starting point – to validate</t>
  </si>
  <si>
    <t xml:space="preserve">Unit prices not included; take from SAP quote / Discovery Center estimator.</t>
  </si>
  <si>
    <t xml:space="preserve">—</t>
  </si>
  <si>
    <t xml:space="preserve">Open point</t>
  </si>
  <si>
    <t xml:space="preserve">Confirm which Anthropic Claude versions (Opus/Sonnet/Haiku) and tool-use/streaming are available in Generative AI Hub in the target region.</t>
  </si>
  <si>
    <t xml:space="preserve">SAP AI Core model catalogue</t>
  </si>
  <si>
    <t xml:space="preserve">Confirm pgvector availability in PostgreSQL on SAP BTP, hyperscaler option (only if lift-and-shift chosen).</t>
  </si>
  <si>
    <t xml:space="preserve">SAP Discovery Center</t>
  </si>
  <si>
    <t xml:space="preserve">Confirm HANA Cloud openCypher coverage for current NL→Cypher queries.</t>
  </si>
  <si>
    <t xml:space="preserve">SAP HANA Cloud Graph documentation</t>
  </si>
  <si>
    <t xml:space="preserve">Data residency: BTP region (e.g. EU10 Frankfurt) and whether Bedrock-hosted Claude stays in-region.</t>
  </si>
  <si>
    <t xml:space="preserve">Solvay security / SAP</t>
  </si>
  <si>
    <t xml:space="preserve">Container registry choice for Kyma images (BTP has none).</t>
  </si>
  <si>
    <t xml:space="preserve">Solvay 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</si>
</sst>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0070C0"/>
        <bgColor rgb="FF008080"/>
      </patternFill>
    </fill>
    <fill>
      <patternFill patternType="solid">
        <fgColor rgb="FF00A4EF"/>
        <bgColor rgb="FF0070C0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A4E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4E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23.25" hidden="false" customHeight="true" outlineLevel="0" collapsed="false">
      <c r="A5" s="4" t="s">
        <v>4</v>
      </c>
      <c r="B5" s="5" t="s">
        <v>5</v>
      </c>
    </row>
    <row r="6" customFormat="false" ht="23.25" hidden="false" customHeight="true" outlineLevel="0" collapsed="false">
      <c r="A6" s="4" t="s">
        <v>6</v>
      </c>
      <c r="B6" s="5" t="s">
        <v>7</v>
      </c>
    </row>
    <row r="7" customFormat="false" ht="23.2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/>
      <c r="B8" s="5"/>
    </row>
    <row r="9" customFormat="false" ht="15" hidden="false" customHeight="true" outlineLevel="0" collapsed="false">
      <c r="A9" s="4" t="s">
        <v>10</v>
      </c>
      <c r="B9" s="5"/>
    </row>
    <row r="10" customFormat="false" ht="15" hidden="false" customHeight="true" outlineLevel="0" collapsed="false">
      <c r="A10" s="4" t="s">
        <v>11</v>
      </c>
      <c r="B10" s="5" t="s">
        <v>12</v>
      </c>
    </row>
    <row r="11" customFormat="false" ht="15" hidden="false" customHeight="true" outlineLevel="0" collapsed="false">
      <c r="A11" s="4" t="s">
        <v>13</v>
      </c>
      <c r="B11" s="5" t="s">
        <v>14</v>
      </c>
    </row>
    <row r="12" customFormat="false" ht="15" hidden="false" customHeight="true" outlineLevel="0" collapsed="false">
      <c r="A12" s="4" t="s">
        <v>15</v>
      </c>
      <c r="B12" s="5" t="s">
        <v>16</v>
      </c>
    </row>
    <row r="13" customFormat="false" ht="15" hidden="false" customHeight="true" outlineLevel="0" collapsed="false">
      <c r="A13" s="4" t="s">
        <v>17</v>
      </c>
      <c r="B13" s="5" t="s">
        <v>18</v>
      </c>
    </row>
    <row r="14" customFormat="false" ht="15" hidden="false" customHeight="true" outlineLevel="0" collapsed="false">
      <c r="A14" s="4"/>
      <c r="B14" s="5"/>
    </row>
    <row r="15" customFormat="false" ht="15" hidden="false" customHeight="true" outlineLevel="0" collapsed="false">
      <c r="A15" s="4" t="s">
        <v>19</v>
      </c>
      <c r="B15" s="5"/>
    </row>
    <row r="16" customFormat="false" ht="23.25" hidden="false" customHeight="true" outlineLevel="0" collapsed="false">
      <c r="A16" s="6" t="s">
        <v>20</v>
      </c>
      <c r="B16" s="5" t="s">
        <v>21</v>
      </c>
    </row>
    <row r="17" customFormat="false" ht="15" hidden="false" customHeight="true" outlineLevel="0" collapsed="false">
      <c r="A17" s="4" t="s">
        <v>22</v>
      </c>
      <c r="B17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38"/>
    <col collapsed="false" customWidth="true" hidden="false" outlineLevel="0" max="4" min="4" style="1" width="30"/>
    <col collapsed="false" customWidth="true" hidden="false" outlineLevel="0" max="5" min="5" style="1" width="48"/>
    <col collapsed="false" customWidth="true" hidden="false" outlineLevel="0" max="6" min="6" style="1" width="55"/>
    <col collapsed="false" customWidth="true" hidden="false" outlineLevel="0" max="7" min="7" style="1" width="10"/>
  </cols>
  <sheetData>
    <row r="1" customFormat="false" ht="17.25" hidden="false" customHeight="true" outlineLevel="0" collapsed="false">
      <c r="A1" s="2" t="s">
        <v>24</v>
      </c>
    </row>
    <row r="2" customFormat="false" ht="15" hidden="false" customHeight="true" outlineLevel="0" collapsed="false">
      <c r="A2" s="3" t="s">
        <v>25</v>
      </c>
    </row>
    <row r="4" customFormat="false" ht="23.25" hidden="false" customHeight="true" outlineLevel="0" collapsed="false">
      <c r="A4" s="7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32</v>
      </c>
    </row>
    <row r="5" customFormat="false" ht="23.25" hidden="false" customHeight="true" outlineLevel="0" collapsed="false">
      <c r="A5" s="8" t="n">
        <v>1</v>
      </c>
      <c r="B5" s="8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38</v>
      </c>
    </row>
    <row r="6" customFormat="false" ht="34.5" hidden="false" customHeight="true" outlineLevel="0" collapsed="false">
      <c r="A6" s="8" t="n">
        <v>2</v>
      </c>
      <c r="B6" s="8" t="s">
        <v>39</v>
      </c>
      <c r="C6" s="8" t="s">
        <v>40</v>
      </c>
      <c r="D6" s="8" t="s">
        <v>41</v>
      </c>
      <c r="E6" s="8" t="s">
        <v>42</v>
      </c>
      <c r="F6" s="8" t="s">
        <v>43</v>
      </c>
      <c r="G6" s="8" t="s">
        <v>38</v>
      </c>
    </row>
    <row r="7" customFormat="false" ht="23.25" hidden="false" customHeight="true" outlineLevel="0" collapsed="false">
      <c r="A7" s="8" t="n">
        <v>3</v>
      </c>
      <c r="B7" s="8" t="s">
        <v>44</v>
      </c>
      <c r="C7" s="8" t="s">
        <v>45</v>
      </c>
      <c r="D7" s="8" t="s">
        <v>46</v>
      </c>
      <c r="E7" s="8" t="s">
        <v>47</v>
      </c>
      <c r="F7" s="8" t="s">
        <v>48</v>
      </c>
      <c r="G7" s="8" t="s">
        <v>38</v>
      </c>
    </row>
    <row r="8" customFormat="false" ht="23.25" hidden="false" customHeight="true" outlineLevel="0" collapsed="false">
      <c r="A8" s="8" t="n">
        <v>4</v>
      </c>
      <c r="B8" s="8" t="s">
        <v>44</v>
      </c>
      <c r="C8" s="8" t="s">
        <v>49</v>
      </c>
      <c r="D8" s="8" t="s">
        <v>50</v>
      </c>
      <c r="E8" s="8" t="s">
        <v>51</v>
      </c>
      <c r="F8" s="8" t="s">
        <v>52</v>
      </c>
      <c r="G8" s="8" t="s">
        <v>38</v>
      </c>
    </row>
    <row r="9" customFormat="false" ht="34.5" hidden="false" customHeight="true" outlineLevel="0" collapsed="false">
      <c r="A9" s="8" t="n">
        <v>5</v>
      </c>
      <c r="B9" s="8" t="s">
        <v>53</v>
      </c>
      <c r="C9" s="8" t="s">
        <v>54</v>
      </c>
      <c r="D9" s="8" t="s">
        <v>55</v>
      </c>
      <c r="E9" s="8" t="s">
        <v>56</v>
      </c>
      <c r="F9" s="8" t="s">
        <v>57</v>
      </c>
      <c r="G9" s="8" t="s">
        <v>58</v>
      </c>
    </row>
    <row r="10" customFormat="false" ht="34.5" hidden="false" customHeight="true" outlineLevel="0" collapsed="false">
      <c r="A10" s="8" t="n">
        <v>6</v>
      </c>
      <c r="B10" s="8" t="s">
        <v>53</v>
      </c>
      <c r="C10" s="8" t="s">
        <v>59</v>
      </c>
      <c r="D10" s="8" t="s">
        <v>60</v>
      </c>
      <c r="E10" s="8" t="s">
        <v>61</v>
      </c>
      <c r="F10" s="8" t="s">
        <v>62</v>
      </c>
      <c r="G10" s="8" t="s">
        <v>58</v>
      </c>
    </row>
    <row r="11" customFormat="false" ht="34.5" hidden="false" customHeight="true" outlineLevel="0" collapsed="false">
      <c r="A11" s="8" t="n">
        <v>7</v>
      </c>
      <c r="B11" s="8" t="s">
        <v>63</v>
      </c>
      <c r="C11" s="8" t="s">
        <v>64</v>
      </c>
      <c r="D11" s="8" t="s">
        <v>65</v>
      </c>
      <c r="E11" s="8" t="s">
        <v>66</v>
      </c>
      <c r="F11" s="8" t="s">
        <v>67</v>
      </c>
      <c r="G11" s="8" t="s">
        <v>68</v>
      </c>
    </row>
    <row r="12" customFormat="false" ht="23.25" hidden="false" customHeight="true" outlineLevel="0" collapsed="false">
      <c r="A12" s="8" t="n">
        <v>8</v>
      </c>
      <c r="B12" s="8" t="s">
        <v>63</v>
      </c>
      <c r="C12" s="8" t="s">
        <v>69</v>
      </c>
      <c r="D12" s="8" t="s">
        <v>70</v>
      </c>
      <c r="E12" s="8" t="s">
        <v>71</v>
      </c>
      <c r="F12" s="8" t="s">
        <v>72</v>
      </c>
      <c r="G12" s="8" t="s">
        <v>58</v>
      </c>
    </row>
    <row r="13" customFormat="false" ht="23.25" hidden="false" customHeight="true" outlineLevel="0" collapsed="false">
      <c r="A13" s="8" t="n">
        <v>9</v>
      </c>
      <c r="B13" s="8" t="s">
        <v>63</v>
      </c>
      <c r="C13" s="8" t="s">
        <v>73</v>
      </c>
      <c r="D13" s="8" t="s">
        <v>74</v>
      </c>
      <c r="E13" s="8" t="s">
        <v>75</v>
      </c>
      <c r="F13" s="8" t="s">
        <v>76</v>
      </c>
      <c r="G13" s="8" t="s">
        <v>58</v>
      </c>
    </row>
    <row r="14" customFormat="false" ht="34.5" hidden="false" customHeight="true" outlineLevel="0" collapsed="false">
      <c r="A14" s="8" t="n">
        <v>10</v>
      </c>
      <c r="B14" s="8" t="s">
        <v>77</v>
      </c>
      <c r="C14" s="8" t="s">
        <v>78</v>
      </c>
      <c r="D14" s="8" t="s">
        <v>79</v>
      </c>
      <c r="E14" s="8" t="s">
        <v>80</v>
      </c>
      <c r="F14" s="8" t="s">
        <v>81</v>
      </c>
      <c r="G14" s="8" t="s">
        <v>68</v>
      </c>
    </row>
    <row r="15" customFormat="false" ht="34.5" hidden="false" customHeight="true" outlineLevel="0" collapsed="false">
      <c r="A15" s="8" t="n">
        <v>11</v>
      </c>
      <c r="B15" s="8" t="s">
        <v>82</v>
      </c>
      <c r="C15" s="8" t="s">
        <v>83</v>
      </c>
      <c r="D15" s="8" t="s">
        <v>84</v>
      </c>
      <c r="E15" s="8" t="s">
        <v>85</v>
      </c>
      <c r="F15" s="8" t="s">
        <v>86</v>
      </c>
      <c r="G15" s="8" t="s">
        <v>58</v>
      </c>
    </row>
    <row r="16" customFormat="false" ht="23.25" hidden="false" customHeight="true" outlineLevel="0" collapsed="false">
      <c r="A16" s="8" t="n">
        <v>12</v>
      </c>
      <c r="B16" s="8" t="s">
        <v>87</v>
      </c>
      <c r="C16" s="8" t="s">
        <v>88</v>
      </c>
      <c r="D16" s="8" t="s">
        <v>89</v>
      </c>
      <c r="E16" s="8" t="s">
        <v>90</v>
      </c>
      <c r="F16" s="8" t="s">
        <v>91</v>
      </c>
      <c r="G16" s="8" t="s">
        <v>38</v>
      </c>
    </row>
    <row r="17" customFormat="false" ht="23.25" hidden="false" customHeight="true" outlineLevel="0" collapsed="false">
      <c r="A17" s="8" t="n">
        <v>13</v>
      </c>
      <c r="B17" s="8" t="s">
        <v>87</v>
      </c>
      <c r="C17" s="8" t="s">
        <v>92</v>
      </c>
      <c r="D17" s="8" t="s">
        <v>93</v>
      </c>
      <c r="E17" s="8" t="s">
        <v>94</v>
      </c>
      <c r="F17" s="8" t="s">
        <v>95</v>
      </c>
      <c r="G17" s="8" t="s">
        <v>38</v>
      </c>
    </row>
    <row r="18" customFormat="false" ht="23.25" hidden="false" customHeight="true" outlineLevel="0" collapsed="false">
      <c r="A18" s="8" t="n">
        <v>14</v>
      </c>
      <c r="B18" s="8" t="s">
        <v>96</v>
      </c>
      <c r="C18" s="8" t="s">
        <v>97</v>
      </c>
      <c r="D18" s="8" t="s">
        <v>98</v>
      </c>
      <c r="E18" s="8" t="s">
        <v>99</v>
      </c>
      <c r="F18" s="8" t="s">
        <v>100</v>
      </c>
      <c r="G18" s="8" t="s">
        <v>58</v>
      </c>
    </row>
    <row r="19" customFormat="false" ht="23.25" hidden="false" customHeight="true" outlineLevel="0" collapsed="false">
      <c r="A19" s="8" t="n">
        <v>15</v>
      </c>
      <c r="B19" s="8" t="s">
        <v>87</v>
      </c>
      <c r="C19" s="8" t="s">
        <v>101</v>
      </c>
      <c r="D19" s="8" t="s">
        <v>102</v>
      </c>
      <c r="E19" s="8" t="s">
        <v>103</v>
      </c>
      <c r="F19" s="8" t="s">
        <v>104</v>
      </c>
      <c r="G19" s="8" t="s">
        <v>58</v>
      </c>
    </row>
    <row r="20" customFormat="false" ht="34.5" hidden="false" customHeight="true" outlineLevel="0" collapsed="false">
      <c r="A20" s="8" t="n">
        <v>16</v>
      </c>
      <c r="B20" s="8" t="s">
        <v>105</v>
      </c>
      <c r="C20" s="8" t="s">
        <v>106</v>
      </c>
      <c r="D20" s="8" t="s">
        <v>107</v>
      </c>
      <c r="E20" s="8" t="s">
        <v>108</v>
      </c>
      <c r="F20" s="8" t="s">
        <v>109</v>
      </c>
      <c r="G20" s="8" t="s">
        <v>58</v>
      </c>
    </row>
    <row r="21" customFormat="false" ht="23.25" hidden="false" customHeight="true" outlineLevel="0" collapsed="false">
      <c r="A21" s="8" t="n">
        <v>17</v>
      </c>
      <c r="B21" s="8" t="s">
        <v>96</v>
      </c>
      <c r="C21" s="8" t="s">
        <v>110</v>
      </c>
      <c r="D21" s="8" t="s">
        <v>111</v>
      </c>
      <c r="E21" s="8" t="s">
        <v>112</v>
      </c>
      <c r="F21" s="8" t="s">
        <v>113</v>
      </c>
      <c r="G21" s="8" t="s">
        <v>58</v>
      </c>
    </row>
    <row r="22" customFormat="false" ht="15" hidden="false" customHeight="true" outlineLevel="0" collapsed="false">
      <c r="A22" s="8" t="n">
        <v>18</v>
      </c>
      <c r="B22" s="8" t="s">
        <v>96</v>
      </c>
      <c r="C22" s="8" t="s">
        <v>114</v>
      </c>
      <c r="D22" s="8" t="s">
        <v>115</v>
      </c>
      <c r="E22" s="8" t="s">
        <v>116</v>
      </c>
      <c r="F22" s="8"/>
      <c r="G22" s="8" t="s">
        <v>38</v>
      </c>
    </row>
    <row r="23" customFormat="false" ht="15" hidden="false" customHeight="true" outlineLevel="0" collapsed="false">
      <c r="A23" s="8" t="n">
        <v>19</v>
      </c>
      <c r="B23" s="8" t="s">
        <v>117</v>
      </c>
      <c r="C23" s="8" t="s">
        <v>118</v>
      </c>
      <c r="D23" s="8" t="s">
        <v>119</v>
      </c>
      <c r="E23" s="8" t="s">
        <v>120</v>
      </c>
      <c r="F23" s="8" t="s">
        <v>121</v>
      </c>
      <c r="G23" s="8" t="s">
        <v>38</v>
      </c>
    </row>
    <row r="24" customFormat="false" ht="23.25" hidden="false" customHeight="true" outlineLevel="0" collapsed="false">
      <c r="A24" s="8" t="n">
        <v>20</v>
      </c>
      <c r="B24" s="8" t="s">
        <v>122</v>
      </c>
      <c r="C24" s="8" t="s">
        <v>123</v>
      </c>
      <c r="D24" s="8" t="s">
        <v>124</v>
      </c>
      <c r="E24" s="8" t="s">
        <v>125</v>
      </c>
      <c r="F24" s="8" t="s">
        <v>126</v>
      </c>
      <c r="G24" s="8" t="s">
        <v>38</v>
      </c>
    </row>
    <row r="25" customFormat="false" ht="23.25" hidden="false" customHeight="true" outlineLevel="0" collapsed="false">
      <c r="A25" s="8" t="n">
        <v>21</v>
      </c>
      <c r="B25" s="8" t="s">
        <v>39</v>
      </c>
      <c r="C25" s="8" t="s">
        <v>127</v>
      </c>
      <c r="D25" s="8" t="s">
        <v>128</v>
      </c>
      <c r="E25" s="8" t="s">
        <v>129</v>
      </c>
      <c r="F25" s="8"/>
      <c r="G25" s="8" t="s">
        <v>38</v>
      </c>
    </row>
    <row r="26" customFormat="false" ht="23.25" hidden="false" customHeight="true" outlineLevel="0" collapsed="false">
      <c r="A26" s="8" t="n">
        <v>22</v>
      </c>
      <c r="B26" s="8" t="s">
        <v>130</v>
      </c>
      <c r="C26" s="8" t="s">
        <v>131</v>
      </c>
      <c r="D26" s="8" t="s">
        <v>132</v>
      </c>
      <c r="E26" s="8" t="s">
        <v>133</v>
      </c>
      <c r="F26" s="8" t="s">
        <v>134</v>
      </c>
      <c r="G26" s="8" t="s">
        <v>58</v>
      </c>
    </row>
    <row r="27" customFormat="false" ht="23.25" hidden="false" customHeight="true" outlineLevel="0" collapsed="false">
      <c r="A27" s="8" t="n">
        <v>23</v>
      </c>
      <c r="B27" s="8" t="s">
        <v>135</v>
      </c>
      <c r="C27" s="8" t="s">
        <v>136</v>
      </c>
      <c r="D27" s="8" t="s">
        <v>137</v>
      </c>
      <c r="E27" s="8" t="s">
        <v>138</v>
      </c>
      <c r="F27" s="8" t="s">
        <v>139</v>
      </c>
      <c r="G27" s="8" t="s">
        <v>38</v>
      </c>
    </row>
  </sheetData>
  <autoFilter ref="A4:G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48"/>
    <col collapsed="false" customWidth="true" hidden="false" outlineLevel="0" max="6" min="6" style="0" width="10"/>
    <col collapsed="false" customWidth="true" hidden="false" outlineLevel="0" max="7" min="7" style="0" width="48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9" t="s">
        <v>140</v>
      </c>
    </row>
    <row r="2" customFormat="false" ht="15" hidden="false" customHeight="false" outlineLevel="0" collapsed="false">
      <c r="A2" s="10" t="s">
        <v>141</v>
      </c>
    </row>
    <row r="4" customFormat="false" ht="23.85" hidden="false" customHeight="false" outlineLevel="0" collapsed="false">
      <c r="A4" s="7" t="s">
        <v>26</v>
      </c>
      <c r="B4" s="7" t="s">
        <v>27</v>
      </c>
      <c r="C4" s="7" t="s">
        <v>28</v>
      </c>
      <c r="D4" s="7" t="s">
        <v>142</v>
      </c>
      <c r="E4" s="11" t="s">
        <v>30</v>
      </c>
      <c r="F4" s="11" t="s">
        <v>143</v>
      </c>
      <c r="G4" s="12" t="s">
        <v>144</v>
      </c>
      <c r="H4" s="12" t="s">
        <v>145</v>
      </c>
    </row>
    <row r="5" customFormat="false" ht="23.85" hidden="false" customHeight="false" outlineLevel="0" collapsed="false">
      <c r="A5" s="8" t="n">
        <v>1</v>
      </c>
      <c r="B5" s="8" t="s">
        <v>33</v>
      </c>
      <c r="C5" s="8" t="s">
        <v>146</v>
      </c>
      <c r="D5" s="8" t="s">
        <v>147</v>
      </c>
      <c r="E5" s="8" t="s">
        <v>148</v>
      </c>
      <c r="F5" s="13" t="s">
        <v>38</v>
      </c>
      <c r="G5" s="8" t="s">
        <v>149</v>
      </c>
      <c r="H5" s="13" t="s">
        <v>38</v>
      </c>
    </row>
    <row r="6" customFormat="false" ht="15" hidden="false" customHeight="false" outlineLevel="0" collapsed="false">
      <c r="A6" s="8" t="n">
        <v>2</v>
      </c>
      <c r="B6" s="8" t="s">
        <v>39</v>
      </c>
      <c r="C6" s="8" t="s">
        <v>150</v>
      </c>
      <c r="D6" s="8" t="s">
        <v>151</v>
      </c>
      <c r="E6" s="8" t="s">
        <v>42</v>
      </c>
      <c r="F6" s="13" t="s">
        <v>38</v>
      </c>
      <c r="G6" s="8" t="s">
        <v>152</v>
      </c>
      <c r="H6" s="13" t="s">
        <v>38</v>
      </c>
    </row>
    <row r="7" customFormat="false" ht="15" hidden="false" customHeight="false" outlineLevel="0" collapsed="false">
      <c r="A7" s="8" t="n">
        <v>3</v>
      </c>
      <c r="B7" s="8" t="s">
        <v>44</v>
      </c>
      <c r="C7" s="8" t="s">
        <v>153</v>
      </c>
      <c r="D7" s="8" t="s">
        <v>46</v>
      </c>
      <c r="E7" s="8" t="s">
        <v>154</v>
      </c>
      <c r="F7" s="13" t="s">
        <v>38</v>
      </c>
      <c r="G7" s="8" t="s">
        <v>155</v>
      </c>
      <c r="H7" s="13" t="s">
        <v>38</v>
      </c>
    </row>
    <row r="8" customFormat="false" ht="15" hidden="false" customHeight="false" outlineLevel="0" collapsed="false">
      <c r="A8" s="8" t="n">
        <v>4</v>
      </c>
      <c r="B8" s="8" t="s">
        <v>44</v>
      </c>
      <c r="C8" s="8" t="s">
        <v>156</v>
      </c>
      <c r="D8" s="8" t="s">
        <v>157</v>
      </c>
      <c r="E8" s="8" t="s">
        <v>158</v>
      </c>
      <c r="F8" s="13" t="s">
        <v>38</v>
      </c>
      <c r="G8" s="8" t="s">
        <v>159</v>
      </c>
      <c r="H8" s="13" t="s">
        <v>38</v>
      </c>
    </row>
    <row r="9" customFormat="false" ht="23.85" hidden="false" customHeight="false" outlineLevel="0" collapsed="false">
      <c r="A9" s="8" t="n">
        <v>5</v>
      </c>
      <c r="B9" s="8" t="s">
        <v>53</v>
      </c>
      <c r="C9" s="8" t="s">
        <v>54</v>
      </c>
      <c r="D9" s="8" t="s">
        <v>160</v>
      </c>
      <c r="E9" s="8" t="s">
        <v>161</v>
      </c>
      <c r="F9" s="14" t="s">
        <v>58</v>
      </c>
      <c r="G9" s="8" t="s">
        <v>162</v>
      </c>
      <c r="H9" s="13" t="s">
        <v>38</v>
      </c>
    </row>
    <row r="10" customFormat="false" ht="23.85" hidden="false" customHeight="false" outlineLevel="0" collapsed="false">
      <c r="A10" s="8" t="n">
        <v>6</v>
      </c>
      <c r="B10" s="8" t="s">
        <v>53</v>
      </c>
      <c r="C10" s="8" t="s">
        <v>59</v>
      </c>
      <c r="D10" s="8" t="s">
        <v>60</v>
      </c>
      <c r="E10" s="8" t="s">
        <v>163</v>
      </c>
      <c r="F10" s="14" t="s">
        <v>58</v>
      </c>
      <c r="G10" s="8" t="s">
        <v>164</v>
      </c>
      <c r="H10" s="13" t="s">
        <v>38</v>
      </c>
    </row>
    <row r="11" customFormat="false" ht="23.85" hidden="false" customHeight="false" outlineLevel="0" collapsed="false">
      <c r="A11" s="8" t="n">
        <v>7</v>
      </c>
      <c r="B11" s="8" t="s">
        <v>63</v>
      </c>
      <c r="C11" s="8" t="s">
        <v>165</v>
      </c>
      <c r="D11" s="8" t="s">
        <v>166</v>
      </c>
      <c r="E11" s="8" t="s">
        <v>167</v>
      </c>
      <c r="F11" s="15" t="s">
        <v>68</v>
      </c>
      <c r="G11" s="8" t="s">
        <v>168</v>
      </c>
      <c r="H11" s="13" t="s">
        <v>38</v>
      </c>
    </row>
    <row r="12" customFormat="false" ht="15" hidden="false" customHeight="false" outlineLevel="0" collapsed="false">
      <c r="A12" s="8" t="n">
        <v>8</v>
      </c>
      <c r="B12" s="8" t="s">
        <v>63</v>
      </c>
      <c r="C12" s="8" t="s">
        <v>169</v>
      </c>
      <c r="D12" s="8" t="s">
        <v>170</v>
      </c>
      <c r="E12" s="8" t="s">
        <v>171</v>
      </c>
      <c r="F12" s="14" t="s">
        <v>58</v>
      </c>
      <c r="G12" s="8" t="s">
        <v>172</v>
      </c>
      <c r="H12" s="13" t="s">
        <v>38</v>
      </c>
    </row>
    <row r="13" customFormat="false" ht="15" hidden="false" customHeight="false" outlineLevel="0" collapsed="false">
      <c r="A13" s="8" t="n">
        <v>9</v>
      </c>
      <c r="B13" s="8" t="s">
        <v>63</v>
      </c>
      <c r="C13" s="8" t="s">
        <v>173</v>
      </c>
      <c r="D13" s="8" t="s">
        <v>174</v>
      </c>
      <c r="E13" s="8" t="s">
        <v>175</v>
      </c>
      <c r="F13" s="14" t="s">
        <v>58</v>
      </c>
      <c r="G13" s="8" t="s">
        <v>176</v>
      </c>
      <c r="H13" s="13" t="s">
        <v>38</v>
      </c>
    </row>
    <row r="14" customFormat="false" ht="23.85" hidden="false" customHeight="false" outlineLevel="0" collapsed="false">
      <c r="A14" s="8" t="n">
        <v>10</v>
      </c>
      <c r="B14" s="8" t="s">
        <v>77</v>
      </c>
      <c r="C14" s="8" t="s">
        <v>78</v>
      </c>
      <c r="D14" s="8" t="s">
        <v>79</v>
      </c>
      <c r="E14" s="8" t="s">
        <v>177</v>
      </c>
      <c r="F14" s="15" t="s">
        <v>68</v>
      </c>
      <c r="G14" s="8" t="s">
        <v>178</v>
      </c>
      <c r="H14" s="14" t="s">
        <v>58</v>
      </c>
    </row>
    <row r="15" customFormat="false" ht="23.85" hidden="false" customHeight="false" outlineLevel="0" collapsed="false">
      <c r="A15" s="8" t="n">
        <v>11</v>
      </c>
      <c r="B15" s="8" t="s">
        <v>82</v>
      </c>
      <c r="C15" s="8" t="s">
        <v>179</v>
      </c>
      <c r="D15" s="8" t="s">
        <v>84</v>
      </c>
      <c r="E15" s="8" t="s">
        <v>180</v>
      </c>
      <c r="F15" s="14" t="s">
        <v>58</v>
      </c>
      <c r="G15" s="8" t="s">
        <v>181</v>
      </c>
      <c r="H15" s="13" t="s">
        <v>38</v>
      </c>
    </row>
    <row r="16" customFormat="false" ht="23.85" hidden="false" customHeight="false" outlineLevel="0" collapsed="false">
      <c r="A16" s="8" t="n">
        <v>12</v>
      </c>
      <c r="B16" s="8" t="s">
        <v>87</v>
      </c>
      <c r="C16" s="8" t="s">
        <v>182</v>
      </c>
      <c r="D16" s="8" t="s">
        <v>183</v>
      </c>
      <c r="E16" s="8" t="s">
        <v>184</v>
      </c>
      <c r="F16" s="13" t="s">
        <v>38</v>
      </c>
      <c r="G16" s="8" t="s">
        <v>185</v>
      </c>
      <c r="H16" s="13" t="s">
        <v>38</v>
      </c>
    </row>
    <row r="17" customFormat="false" ht="15" hidden="false" customHeight="false" outlineLevel="0" collapsed="false">
      <c r="A17" s="8" t="n">
        <v>13</v>
      </c>
      <c r="B17" s="8" t="s">
        <v>87</v>
      </c>
      <c r="C17" s="8" t="s">
        <v>186</v>
      </c>
      <c r="D17" s="8" t="s">
        <v>93</v>
      </c>
      <c r="E17" s="8" t="s">
        <v>94</v>
      </c>
      <c r="F17" s="13" t="s">
        <v>38</v>
      </c>
      <c r="G17" s="8" t="s">
        <v>187</v>
      </c>
      <c r="H17" s="13" t="s">
        <v>38</v>
      </c>
    </row>
    <row r="18" customFormat="false" ht="23.85" hidden="false" customHeight="false" outlineLevel="0" collapsed="false">
      <c r="A18" s="8" t="n">
        <v>14</v>
      </c>
      <c r="B18" s="8" t="s">
        <v>96</v>
      </c>
      <c r="C18" s="8" t="s">
        <v>188</v>
      </c>
      <c r="D18" s="8" t="s">
        <v>98</v>
      </c>
      <c r="E18" s="8" t="s">
        <v>189</v>
      </c>
      <c r="F18" s="14" t="s">
        <v>58</v>
      </c>
      <c r="G18" s="8" t="s">
        <v>190</v>
      </c>
      <c r="H18" s="14" t="s">
        <v>58</v>
      </c>
    </row>
    <row r="19" customFormat="false" ht="23.85" hidden="false" customHeight="false" outlineLevel="0" collapsed="false">
      <c r="A19" s="8" t="n">
        <v>15</v>
      </c>
      <c r="B19" s="8" t="s">
        <v>87</v>
      </c>
      <c r="C19" s="8" t="s">
        <v>191</v>
      </c>
      <c r="D19" s="8" t="s">
        <v>192</v>
      </c>
      <c r="E19" s="8" t="s">
        <v>193</v>
      </c>
      <c r="F19" s="14" t="s">
        <v>58</v>
      </c>
      <c r="G19" s="8" t="s">
        <v>194</v>
      </c>
      <c r="H19" s="13" t="s">
        <v>38</v>
      </c>
    </row>
    <row r="20" customFormat="false" ht="23.85" hidden="false" customHeight="false" outlineLevel="0" collapsed="false">
      <c r="A20" s="8" t="n">
        <v>16</v>
      </c>
      <c r="B20" s="8" t="s">
        <v>105</v>
      </c>
      <c r="C20" s="8" t="s">
        <v>195</v>
      </c>
      <c r="D20" s="8" t="s">
        <v>196</v>
      </c>
      <c r="E20" s="8" t="s">
        <v>197</v>
      </c>
      <c r="F20" s="14" t="s">
        <v>58</v>
      </c>
      <c r="G20" s="8" t="s">
        <v>198</v>
      </c>
      <c r="H20" s="14" t="s">
        <v>58</v>
      </c>
    </row>
    <row r="21" customFormat="false" ht="15" hidden="false" customHeight="false" outlineLevel="0" collapsed="false">
      <c r="A21" s="8" t="n">
        <v>17</v>
      </c>
      <c r="B21" s="8" t="s">
        <v>96</v>
      </c>
      <c r="C21" s="8" t="s">
        <v>199</v>
      </c>
      <c r="D21" s="8" t="s">
        <v>200</v>
      </c>
      <c r="E21" s="8" t="s">
        <v>201</v>
      </c>
      <c r="F21" s="14" t="s">
        <v>58</v>
      </c>
      <c r="G21" s="8" t="s">
        <v>202</v>
      </c>
      <c r="H21" s="14" t="s">
        <v>58</v>
      </c>
    </row>
    <row r="22" customFormat="false" ht="15" hidden="false" customHeight="false" outlineLevel="0" collapsed="false">
      <c r="A22" s="8" t="n">
        <v>18</v>
      </c>
      <c r="B22" s="8" t="s">
        <v>96</v>
      </c>
      <c r="C22" s="8" t="s">
        <v>203</v>
      </c>
      <c r="D22" s="8" t="s">
        <v>115</v>
      </c>
      <c r="E22" s="8" t="s">
        <v>204</v>
      </c>
      <c r="F22" s="13" t="s">
        <v>38</v>
      </c>
      <c r="G22" s="8" t="s">
        <v>205</v>
      </c>
      <c r="H22" s="13" t="s">
        <v>38</v>
      </c>
    </row>
    <row r="23" customFormat="false" ht="15" hidden="false" customHeight="false" outlineLevel="0" collapsed="false">
      <c r="A23" s="8" t="n">
        <v>19</v>
      </c>
      <c r="B23" s="8" t="s">
        <v>117</v>
      </c>
      <c r="C23" s="8" t="s">
        <v>206</v>
      </c>
      <c r="D23" s="8" t="s">
        <v>119</v>
      </c>
      <c r="E23" s="8" t="s">
        <v>120</v>
      </c>
      <c r="F23" s="13" t="s">
        <v>38</v>
      </c>
      <c r="G23" s="8" t="s">
        <v>207</v>
      </c>
      <c r="H23" s="13" t="s">
        <v>38</v>
      </c>
    </row>
    <row r="24" customFormat="false" ht="23.85" hidden="false" customHeight="false" outlineLevel="0" collapsed="false">
      <c r="A24" s="8" t="n">
        <v>20</v>
      </c>
      <c r="B24" s="8" t="s">
        <v>122</v>
      </c>
      <c r="C24" s="8" t="s">
        <v>208</v>
      </c>
      <c r="D24" s="8" t="s">
        <v>124</v>
      </c>
      <c r="E24" s="8" t="s">
        <v>209</v>
      </c>
      <c r="F24" s="13" t="s">
        <v>38</v>
      </c>
      <c r="G24" s="8" t="s">
        <v>210</v>
      </c>
      <c r="H24" s="13" t="s">
        <v>38</v>
      </c>
    </row>
    <row r="25" customFormat="false" ht="23.85" hidden="false" customHeight="false" outlineLevel="0" collapsed="false">
      <c r="A25" s="8" t="n">
        <v>21</v>
      </c>
      <c r="B25" s="8" t="s">
        <v>39</v>
      </c>
      <c r="C25" s="8" t="s">
        <v>211</v>
      </c>
      <c r="D25" s="8" t="s">
        <v>128</v>
      </c>
      <c r="E25" s="8" t="s">
        <v>212</v>
      </c>
      <c r="F25" s="13" t="s">
        <v>38</v>
      </c>
      <c r="G25" s="8" t="s">
        <v>213</v>
      </c>
      <c r="H25" s="13" t="s">
        <v>38</v>
      </c>
    </row>
    <row r="26" customFormat="false" ht="23.85" hidden="false" customHeight="false" outlineLevel="0" collapsed="false">
      <c r="A26" s="8" t="n">
        <v>22</v>
      </c>
      <c r="B26" s="8" t="s">
        <v>130</v>
      </c>
      <c r="C26" s="8" t="s">
        <v>131</v>
      </c>
      <c r="D26" s="8" t="s">
        <v>214</v>
      </c>
      <c r="E26" s="8" t="s">
        <v>215</v>
      </c>
      <c r="F26" s="14" t="s">
        <v>58</v>
      </c>
      <c r="G26" s="8" t="s">
        <v>216</v>
      </c>
      <c r="H26" s="14" t="s">
        <v>58</v>
      </c>
    </row>
    <row r="27" customFormat="false" ht="23.85" hidden="false" customHeight="false" outlineLevel="0" collapsed="false">
      <c r="A27" s="8" t="n">
        <v>23</v>
      </c>
      <c r="B27" s="8" t="s">
        <v>135</v>
      </c>
      <c r="C27" s="8" t="s">
        <v>136</v>
      </c>
      <c r="D27" s="8" t="s">
        <v>217</v>
      </c>
      <c r="E27" s="8" t="s">
        <v>218</v>
      </c>
      <c r="F27" s="13" t="s">
        <v>38</v>
      </c>
      <c r="G27" s="8" t="s">
        <v>219</v>
      </c>
      <c r="H27" s="13" t="s">
        <v>38</v>
      </c>
    </row>
    <row r="29" customFormat="false" ht="15" hidden="false" customHeight="false" outlineLevel="0" collapsed="false">
      <c r="D29" s="16" t="s">
        <v>220</v>
      </c>
    </row>
    <row r="30" customFormat="false" ht="15" hidden="false" customHeight="false" outlineLevel="0" collapsed="false">
      <c r="D30" s="17" t="s">
        <v>221</v>
      </c>
      <c r="F30" s="18" t="n">
        <f aca="false">COUNTIF(F5:F27,"L")</f>
        <v>11</v>
      </c>
      <c r="H30" s="18" t="n">
        <f aca="false">COUNTIF(H5:H27,"L")</f>
        <v>18</v>
      </c>
    </row>
    <row r="31" customFormat="false" ht="15" hidden="false" customHeight="false" outlineLevel="0" collapsed="false">
      <c r="D31" s="17" t="s">
        <v>222</v>
      </c>
      <c r="F31" s="19" t="n">
        <f aca="false">COUNTIF(F5:F27,"M")</f>
        <v>10</v>
      </c>
      <c r="H31" s="19" t="n">
        <f aca="false">COUNTIF(H5:H27,"M")</f>
        <v>5</v>
      </c>
    </row>
    <row r="32" customFormat="false" ht="15" hidden="false" customHeight="false" outlineLevel="0" collapsed="false">
      <c r="D32" s="17" t="s">
        <v>223</v>
      </c>
      <c r="F32" s="20" t="n">
        <f aca="false">COUNTIF(F5:F27,"H")</f>
        <v>2</v>
      </c>
      <c r="H32" s="20" t="n">
        <f aca="false">COUNTIF(H5:H27,"H")</f>
        <v>0</v>
      </c>
    </row>
    <row r="34" customFormat="false" ht="15" hidden="false" customHeight="false" outlineLevel="0" collapsed="false">
      <c r="A34" s="21" t="s">
        <v>224</v>
      </c>
    </row>
  </sheetData>
  <autoFilter ref="A4:H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40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6" min="6" style="1" width="12"/>
    <col collapsed="false" customWidth="true" hidden="false" outlineLevel="0" max="7" min="7" style="1" width="40"/>
    <col collapsed="false" customWidth="true" hidden="false" outlineLevel="0" max="9" min="8" style="1" width="9"/>
    <col collapsed="false" customWidth="true" hidden="false" outlineLevel="0" max="12" min="10" style="1" width="14"/>
    <col collapsed="false" customWidth="true" hidden="false" outlineLevel="0" max="13" min="13" style="1" width="50"/>
  </cols>
  <sheetData>
    <row r="1" customFormat="false" ht="17.25" hidden="false" customHeight="true" outlineLevel="0" collapsed="false">
      <c r="A1" s="2" t="s">
        <v>225</v>
      </c>
    </row>
    <row r="2" customFormat="false" ht="15" hidden="false" customHeight="true" outlineLevel="0" collapsed="false">
      <c r="A2" s="3" t="s">
        <v>226</v>
      </c>
    </row>
    <row r="3" customFormat="false" ht="15" hidden="false" customHeight="true" outlineLevel="0" collapsed="false">
      <c r="A3" s="4" t="s">
        <v>227</v>
      </c>
      <c r="B3" s="22" t="s">
        <v>228</v>
      </c>
    </row>
    <row r="5" customFormat="false" ht="23.25" hidden="false" customHeight="true" outlineLevel="0" collapsed="false">
      <c r="A5" s="7" t="s">
        <v>229</v>
      </c>
      <c r="B5" s="7" t="s">
        <v>230</v>
      </c>
      <c r="C5" s="7" t="s">
        <v>231</v>
      </c>
      <c r="D5" s="7" t="s">
        <v>232</v>
      </c>
      <c r="E5" s="7" t="s">
        <v>233</v>
      </c>
      <c r="F5" s="7" t="s">
        <v>234</v>
      </c>
      <c r="G5" s="7" t="s">
        <v>235</v>
      </c>
      <c r="H5" s="7" t="s">
        <v>236</v>
      </c>
      <c r="I5" s="7" t="s">
        <v>237</v>
      </c>
      <c r="J5" s="7" t="s">
        <v>238</v>
      </c>
      <c r="K5" s="7" t="s">
        <v>239</v>
      </c>
      <c r="L5" s="7" t="s">
        <v>240</v>
      </c>
      <c r="M5" s="7" t="s">
        <v>241</v>
      </c>
    </row>
    <row r="6" customFormat="false" ht="15" hidden="false" customHeight="true" outlineLevel="0" collapsed="false">
      <c r="A6" s="8" t="n">
        <v>1</v>
      </c>
      <c r="B6" s="8" t="s">
        <v>242</v>
      </c>
      <c r="C6" s="8" t="s">
        <v>243</v>
      </c>
      <c r="D6" s="8" t="s">
        <v>244</v>
      </c>
      <c r="E6" s="8" t="s">
        <v>245</v>
      </c>
      <c r="F6" s="8" t="s">
        <v>246</v>
      </c>
      <c r="G6" s="8" t="s">
        <v>247</v>
      </c>
      <c r="H6" s="23" t="n">
        <v>1</v>
      </c>
      <c r="I6" s="23" t="n">
        <v>3</v>
      </c>
      <c r="J6" s="24"/>
      <c r="K6" s="25" t="n">
        <f aca="false">(H6+I6)*J6</f>
        <v>0</v>
      </c>
      <c r="L6" s="25" t="n">
        <f aca="false">K6*12</f>
        <v>0</v>
      </c>
      <c r="M6" s="8" t="s">
        <v>248</v>
      </c>
    </row>
    <row r="7" customFormat="false" ht="23.25" hidden="false" customHeight="true" outlineLevel="0" collapsed="false">
      <c r="A7" s="8" t="n">
        <v>2</v>
      </c>
      <c r="B7" s="8" t="s">
        <v>242</v>
      </c>
      <c r="C7" s="8" t="s">
        <v>249</v>
      </c>
      <c r="D7" s="8" t="s">
        <v>250</v>
      </c>
      <c r="E7" s="8" t="s">
        <v>251</v>
      </c>
      <c r="F7" s="8" t="s">
        <v>252</v>
      </c>
      <c r="G7" s="8" t="s">
        <v>253</v>
      </c>
      <c r="H7" s="23" t="n">
        <v>0</v>
      </c>
      <c r="I7" s="23" t="n">
        <v>1</v>
      </c>
      <c r="J7" s="24"/>
      <c r="K7" s="25" t="n">
        <f aca="false">(H7+I7)*J7</f>
        <v>0</v>
      </c>
      <c r="L7" s="25" t="n">
        <f aca="false">K7*12</f>
        <v>0</v>
      </c>
      <c r="M7" s="8" t="s">
        <v>254</v>
      </c>
    </row>
    <row r="8" customFormat="false" ht="23.25" hidden="false" customHeight="true" outlineLevel="0" collapsed="false">
      <c r="A8" s="8" t="n">
        <v>3</v>
      </c>
      <c r="B8" s="8" t="s">
        <v>255</v>
      </c>
      <c r="C8" s="8" t="s">
        <v>256</v>
      </c>
      <c r="D8" s="8" t="s">
        <v>257</v>
      </c>
      <c r="E8" s="8" t="s">
        <v>258</v>
      </c>
      <c r="F8" s="8" t="s">
        <v>246</v>
      </c>
      <c r="G8" s="8" t="s">
        <v>259</v>
      </c>
      <c r="H8" s="23" t="n">
        <v>1</v>
      </c>
      <c r="I8" s="23" t="n">
        <v>1</v>
      </c>
      <c r="J8" s="24"/>
      <c r="K8" s="25" t="n">
        <f aca="false">(H8+I8)*J8</f>
        <v>0</v>
      </c>
      <c r="L8" s="25" t="n">
        <f aca="false">K8*12</f>
        <v>0</v>
      </c>
      <c r="M8" s="8" t="s">
        <v>260</v>
      </c>
    </row>
    <row r="9" customFormat="false" ht="15" hidden="false" customHeight="true" outlineLevel="0" collapsed="false">
      <c r="A9" s="8" t="n">
        <v>4</v>
      </c>
      <c r="B9" s="8" t="s">
        <v>261</v>
      </c>
      <c r="C9" s="8" t="s">
        <v>262</v>
      </c>
      <c r="D9" s="8" t="s">
        <v>263</v>
      </c>
      <c r="E9" s="8" t="s">
        <v>264</v>
      </c>
      <c r="F9" s="8" t="s">
        <v>246</v>
      </c>
      <c r="G9" s="8" t="s">
        <v>265</v>
      </c>
      <c r="H9" s="23" t="n">
        <v>1</v>
      </c>
      <c r="I9" s="23" t="n">
        <v>1</v>
      </c>
      <c r="J9" s="24"/>
      <c r="K9" s="25" t="n">
        <f aca="false">(H9+I9)*J9</f>
        <v>0</v>
      </c>
      <c r="L9" s="25" t="n">
        <f aca="false">K9*12</f>
        <v>0</v>
      </c>
      <c r="M9" s="8" t="s">
        <v>266</v>
      </c>
    </row>
    <row r="10" customFormat="false" ht="23.25" hidden="false" customHeight="true" outlineLevel="0" collapsed="false">
      <c r="A10" s="8" t="n">
        <v>5</v>
      </c>
      <c r="B10" s="8" t="s">
        <v>261</v>
      </c>
      <c r="C10" s="8" t="s">
        <v>267</v>
      </c>
      <c r="D10" s="8" t="s">
        <v>268</v>
      </c>
      <c r="E10" s="8" t="s">
        <v>269</v>
      </c>
      <c r="F10" s="8" t="s">
        <v>246</v>
      </c>
      <c r="G10" s="8" t="s">
        <v>270</v>
      </c>
      <c r="H10" s="23" t="n">
        <v>1</v>
      </c>
      <c r="I10" s="23" t="n">
        <v>1</v>
      </c>
      <c r="J10" s="24"/>
      <c r="K10" s="25" t="n">
        <f aca="false">(H10+I10)*J10</f>
        <v>0</v>
      </c>
      <c r="L10" s="25" t="n">
        <f aca="false">K10*12</f>
        <v>0</v>
      </c>
      <c r="M10" s="8" t="s">
        <v>271</v>
      </c>
    </row>
    <row r="11" customFormat="false" ht="15" hidden="false" customHeight="true" outlineLevel="0" collapsed="false">
      <c r="A11" s="8" t="n">
        <v>6</v>
      </c>
      <c r="B11" s="8" t="s">
        <v>261</v>
      </c>
      <c r="C11" s="8" t="s">
        <v>272</v>
      </c>
      <c r="D11" s="8" t="s">
        <v>273</v>
      </c>
      <c r="E11" s="8" t="s">
        <v>264</v>
      </c>
      <c r="F11" s="8" t="s">
        <v>246</v>
      </c>
      <c r="G11" s="8" t="s">
        <v>274</v>
      </c>
      <c r="H11" s="23" t="n">
        <v>1</v>
      </c>
      <c r="I11" s="23" t="n">
        <v>1</v>
      </c>
      <c r="J11" s="24"/>
      <c r="K11" s="25" t="n">
        <f aca="false">(H11+I11)*J11</f>
        <v>0</v>
      </c>
      <c r="L11" s="25" t="n">
        <f aca="false">K11*12</f>
        <v>0</v>
      </c>
      <c r="M11" s="8"/>
    </row>
    <row r="12" customFormat="false" ht="23.25" hidden="false" customHeight="true" outlineLevel="0" collapsed="false">
      <c r="A12" s="8" t="n">
        <v>7</v>
      </c>
      <c r="B12" s="8" t="s">
        <v>82</v>
      </c>
      <c r="C12" s="8" t="s">
        <v>275</v>
      </c>
      <c r="D12" s="8" t="s">
        <v>273</v>
      </c>
      <c r="E12" s="8" t="s">
        <v>276</v>
      </c>
      <c r="F12" s="8" t="s">
        <v>246</v>
      </c>
      <c r="G12" s="8" t="s">
        <v>277</v>
      </c>
      <c r="H12" s="23" t="n">
        <v>25</v>
      </c>
      <c r="I12" s="23" t="n">
        <v>100</v>
      </c>
      <c r="J12" s="24"/>
      <c r="K12" s="25" t="n">
        <f aca="false">(H12+I12)*J12</f>
        <v>0</v>
      </c>
      <c r="L12" s="25" t="n">
        <f aca="false">K12*12</f>
        <v>0</v>
      </c>
      <c r="M12" s="8" t="s">
        <v>278</v>
      </c>
    </row>
    <row r="13" customFormat="false" ht="23.25" hidden="false" customHeight="true" outlineLevel="0" collapsed="false">
      <c r="A13" s="8" t="n">
        <v>8</v>
      </c>
      <c r="B13" s="8" t="s">
        <v>82</v>
      </c>
      <c r="C13" s="8" t="s">
        <v>279</v>
      </c>
      <c r="D13" s="8" t="s">
        <v>273</v>
      </c>
      <c r="E13" s="8" t="s">
        <v>280</v>
      </c>
      <c r="F13" s="8" t="s">
        <v>252</v>
      </c>
      <c r="G13" s="8" t="s">
        <v>281</v>
      </c>
      <c r="H13" s="23" t="n">
        <v>0</v>
      </c>
      <c r="I13" s="23" t="n">
        <v>0</v>
      </c>
      <c r="J13" s="24"/>
      <c r="K13" s="25" t="n">
        <f aca="false">(H13+I13)*J13</f>
        <v>0</v>
      </c>
      <c r="L13" s="25" t="n">
        <f aca="false">K13*12</f>
        <v>0</v>
      </c>
      <c r="M13" s="8" t="s">
        <v>282</v>
      </c>
    </row>
    <row r="14" customFormat="false" ht="15" hidden="false" customHeight="true" outlineLevel="0" collapsed="false">
      <c r="A14" s="8" t="n">
        <v>9</v>
      </c>
      <c r="B14" s="8" t="s">
        <v>96</v>
      </c>
      <c r="C14" s="8" t="s">
        <v>283</v>
      </c>
      <c r="D14" s="8" t="s">
        <v>284</v>
      </c>
      <c r="E14" s="8" t="s">
        <v>264</v>
      </c>
      <c r="F14" s="8" t="s">
        <v>246</v>
      </c>
      <c r="G14" s="8" t="s">
        <v>285</v>
      </c>
      <c r="H14" s="23" t="n">
        <v>1</v>
      </c>
      <c r="I14" s="23" t="n">
        <v>1</v>
      </c>
      <c r="J14" s="24"/>
      <c r="K14" s="25" t="n">
        <f aca="false">(H14+I14)*J14</f>
        <v>0</v>
      </c>
      <c r="L14" s="25" t="n">
        <f aca="false">K14*12</f>
        <v>0</v>
      </c>
      <c r="M14" s="8" t="s">
        <v>286</v>
      </c>
    </row>
    <row r="15" customFormat="false" ht="15" hidden="false" customHeight="true" outlineLevel="0" collapsed="false">
      <c r="A15" s="8" t="n">
        <v>10</v>
      </c>
      <c r="B15" s="8" t="s">
        <v>96</v>
      </c>
      <c r="C15" s="8" t="s">
        <v>287</v>
      </c>
      <c r="D15" s="8" t="s">
        <v>288</v>
      </c>
      <c r="E15" s="8" t="s">
        <v>289</v>
      </c>
      <c r="F15" s="8" t="s">
        <v>246</v>
      </c>
      <c r="G15" s="8" t="s">
        <v>290</v>
      </c>
      <c r="H15" s="23" t="n">
        <v>1</v>
      </c>
      <c r="I15" s="23" t="n">
        <v>1</v>
      </c>
      <c r="J15" s="24"/>
      <c r="K15" s="25" t="n">
        <f aca="false">(H15+I15)*J15</f>
        <v>0</v>
      </c>
      <c r="L15" s="25" t="n">
        <f aca="false">K15*12</f>
        <v>0</v>
      </c>
      <c r="M15" s="8" t="s">
        <v>291</v>
      </c>
    </row>
    <row r="16" customFormat="false" ht="15" hidden="false" customHeight="true" outlineLevel="0" collapsed="false">
      <c r="A16" s="8" t="n">
        <v>11</v>
      </c>
      <c r="B16" s="8" t="s">
        <v>96</v>
      </c>
      <c r="C16" s="8" t="s">
        <v>204</v>
      </c>
      <c r="D16" s="8" t="s">
        <v>273</v>
      </c>
      <c r="E16" s="8" t="s">
        <v>289</v>
      </c>
      <c r="F16" s="8" t="s">
        <v>246</v>
      </c>
      <c r="G16" s="8" t="s">
        <v>203</v>
      </c>
      <c r="H16" s="23" t="n">
        <v>1</v>
      </c>
      <c r="I16" s="23" t="n">
        <v>1</v>
      </c>
      <c r="J16" s="24"/>
      <c r="K16" s="25" t="n">
        <f aca="false">(H16+I16)*J16</f>
        <v>0</v>
      </c>
      <c r="L16" s="25" t="n">
        <f aca="false">K16*12</f>
        <v>0</v>
      </c>
      <c r="M16" s="8"/>
    </row>
    <row r="17" customFormat="false" ht="15" hidden="false" customHeight="true" outlineLevel="0" collapsed="false">
      <c r="A17" s="8" t="n">
        <v>12</v>
      </c>
      <c r="B17" s="8" t="s">
        <v>96</v>
      </c>
      <c r="C17" s="8" t="s">
        <v>292</v>
      </c>
      <c r="D17" s="8" t="s">
        <v>293</v>
      </c>
      <c r="E17" s="8" t="s">
        <v>289</v>
      </c>
      <c r="F17" s="8" t="s">
        <v>246</v>
      </c>
      <c r="G17" s="8" t="s">
        <v>294</v>
      </c>
      <c r="H17" s="23" t="n">
        <v>1</v>
      </c>
      <c r="I17" s="23" t="n">
        <v>1</v>
      </c>
      <c r="J17" s="24"/>
      <c r="K17" s="25" t="n">
        <f aca="false">(H17+I17)*J17</f>
        <v>0</v>
      </c>
      <c r="L17" s="25" t="n">
        <f aca="false">K17*12</f>
        <v>0</v>
      </c>
      <c r="M17" s="8"/>
    </row>
    <row r="18" customFormat="false" ht="15" hidden="false" customHeight="true" outlineLevel="0" collapsed="false">
      <c r="A18" s="8" t="n">
        <v>13</v>
      </c>
      <c r="B18" s="8" t="s">
        <v>295</v>
      </c>
      <c r="C18" s="8" t="s">
        <v>296</v>
      </c>
      <c r="D18" s="8" t="s">
        <v>297</v>
      </c>
      <c r="E18" s="8" t="s">
        <v>289</v>
      </c>
      <c r="F18" s="8" t="s">
        <v>246</v>
      </c>
      <c r="G18" s="8" t="s">
        <v>298</v>
      </c>
      <c r="H18" s="23" t="n">
        <v>1</v>
      </c>
      <c r="I18" s="23" t="n">
        <v>1</v>
      </c>
      <c r="J18" s="24"/>
      <c r="K18" s="25" t="n">
        <f aca="false">(H18+I18)*J18</f>
        <v>0</v>
      </c>
      <c r="L18" s="25" t="n">
        <f aca="false">K18*12</f>
        <v>0</v>
      </c>
      <c r="M18" s="8"/>
    </row>
    <row r="19" customFormat="false" ht="15" hidden="false" customHeight="true" outlineLevel="0" collapsed="false">
      <c r="A19" s="8" t="n">
        <v>14</v>
      </c>
      <c r="B19" s="8" t="s">
        <v>295</v>
      </c>
      <c r="C19" s="8" t="s">
        <v>299</v>
      </c>
      <c r="D19" s="8" t="s">
        <v>273</v>
      </c>
      <c r="E19" s="8" t="s">
        <v>300</v>
      </c>
      <c r="F19" s="8" t="s">
        <v>252</v>
      </c>
      <c r="G19" s="8" t="s">
        <v>301</v>
      </c>
      <c r="H19" s="23" t="n">
        <v>0</v>
      </c>
      <c r="I19" s="23" t="n">
        <v>1</v>
      </c>
      <c r="J19" s="24"/>
      <c r="K19" s="25" t="n">
        <f aca="false">(H19+I19)*J19</f>
        <v>0</v>
      </c>
      <c r="L19" s="25" t="n">
        <f aca="false">K19*12</f>
        <v>0</v>
      </c>
      <c r="M19" s="8" t="s">
        <v>302</v>
      </c>
    </row>
    <row r="20" customFormat="false" ht="15" hidden="false" customHeight="true" outlineLevel="0" collapsed="false">
      <c r="A20" s="8" t="n">
        <v>15</v>
      </c>
      <c r="B20" s="8" t="s">
        <v>135</v>
      </c>
      <c r="C20" s="8" t="s">
        <v>303</v>
      </c>
      <c r="D20" s="8" t="s">
        <v>304</v>
      </c>
      <c r="E20" s="8" t="s">
        <v>289</v>
      </c>
      <c r="F20" s="8" t="s">
        <v>246</v>
      </c>
      <c r="G20" s="8" t="s">
        <v>305</v>
      </c>
      <c r="H20" s="23" t="n">
        <v>1</v>
      </c>
      <c r="I20" s="23" t="n">
        <v>1</v>
      </c>
      <c r="J20" s="24"/>
      <c r="K20" s="25" t="n">
        <f aca="false">(H20+I20)*J20</f>
        <v>0</v>
      </c>
      <c r="L20" s="25" t="n">
        <f aca="false">K20*12</f>
        <v>0</v>
      </c>
      <c r="M20" s="8"/>
    </row>
    <row r="21" customFormat="false" ht="15" hidden="false" customHeight="true" outlineLevel="0" collapsed="false">
      <c r="A21" s="8" t="n">
        <v>16</v>
      </c>
      <c r="B21" s="8" t="s">
        <v>135</v>
      </c>
      <c r="C21" s="8" t="s">
        <v>306</v>
      </c>
      <c r="D21" s="8" t="s">
        <v>273</v>
      </c>
      <c r="E21" s="8" t="s">
        <v>289</v>
      </c>
      <c r="F21" s="8" t="s">
        <v>246</v>
      </c>
      <c r="G21" s="8" t="s">
        <v>307</v>
      </c>
      <c r="H21" s="23" t="n">
        <v>1</v>
      </c>
      <c r="I21" s="23" t="n">
        <v>1</v>
      </c>
      <c r="J21" s="24"/>
      <c r="K21" s="25" t="n">
        <f aca="false">(H21+I21)*J21</f>
        <v>0</v>
      </c>
      <c r="L21" s="25" t="n">
        <f aca="false">K21*12</f>
        <v>0</v>
      </c>
      <c r="M21" s="8"/>
    </row>
    <row r="22" customFormat="false" ht="15" hidden="false" customHeight="true" outlineLevel="0" collapsed="false">
      <c r="A22" s="8" t="n">
        <v>17</v>
      </c>
      <c r="B22" s="8" t="s">
        <v>122</v>
      </c>
      <c r="C22" s="8" t="s">
        <v>308</v>
      </c>
      <c r="D22" s="8" t="s">
        <v>284</v>
      </c>
      <c r="E22" s="8" t="s">
        <v>289</v>
      </c>
      <c r="F22" s="8" t="s">
        <v>246</v>
      </c>
      <c r="G22" s="8" t="s">
        <v>309</v>
      </c>
      <c r="H22" s="23" t="n">
        <v>1</v>
      </c>
      <c r="I22" s="23" t="n">
        <v>0</v>
      </c>
      <c r="J22" s="24"/>
      <c r="K22" s="25" t="n">
        <f aca="false">(H22+I22)*J22</f>
        <v>0</v>
      </c>
      <c r="L22" s="25" t="n">
        <f aca="false">K22*12</f>
        <v>0</v>
      </c>
      <c r="M22" s="8" t="s">
        <v>310</v>
      </c>
    </row>
    <row r="23" customFormat="false" ht="15" hidden="false" customHeight="true" outlineLevel="0" collapsed="false">
      <c r="A23" s="8" t="n">
        <v>18</v>
      </c>
      <c r="B23" s="8" t="s">
        <v>122</v>
      </c>
      <c r="C23" s="8" t="s">
        <v>311</v>
      </c>
      <c r="D23" s="8" t="s">
        <v>273</v>
      </c>
      <c r="E23" s="8" t="s">
        <v>289</v>
      </c>
      <c r="F23" s="8" t="s">
        <v>246</v>
      </c>
      <c r="G23" s="8" t="s">
        <v>312</v>
      </c>
      <c r="H23" s="23" t="n">
        <v>1</v>
      </c>
      <c r="I23" s="23" t="n">
        <v>0</v>
      </c>
      <c r="J23" s="24"/>
      <c r="K23" s="25" t="n">
        <f aca="false">(H23+I23)*J23</f>
        <v>0</v>
      </c>
      <c r="L23" s="25" t="n">
        <f aca="false">K23*12</f>
        <v>0</v>
      </c>
      <c r="M23" s="8" t="s">
        <v>310</v>
      </c>
    </row>
    <row r="24" customFormat="false" ht="23.25" hidden="false" customHeight="true" outlineLevel="0" collapsed="false">
      <c r="A24" s="8" t="n">
        <v>19</v>
      </c>
      <c r="B24" s="8" t="s">
        <v>130</v>
      </c>
      <c r="C24" s="8" t="s">
        <v>313</v>
      </c>
      <c r="D24" s="8" t="s">
        <v>314</v>
      </c>
      <c r="E24" s="8" t="s">
        <v>289</v>
      </c>
      <c r="F24" s="8" t="s">
        <v>252</v>
      </c>
      <c r="G24" s="8" t="s">
        <v>315</v>
      </c>
      <c r="H24" s="23" t="n">
        <v>0</v>
      </c>
      <c r="I24" s="23" t="n">
        <v>1</v>
      </c>
      <c r="J24" s="24"/>
      <c r="K24" s="25" t="n">
        <f aca="false">(H24+I24)*J24</f>
        <v>0</v>
      </c>
      <c r="L24" s="25" t="n">
        <f aca="false">K24*12</f>
        <v>0</v>
      </c>
      <c r="M24" s="8" t="s">
        <v>316</v>
      </c>
    </row>
    <row r="25" customFormat="false" ht="15" hidden="false" customHeight="true" outlineLevel="0" collapsed="false">
      <c r="A25" s="8" t="n">
        <v>20</v>
      </c>
      <c r="B25" s="8" t="s">
        <v>255</v>
      </c>
      <c r="C25" s="8" t="s">
        <v>317</v>
      </c>
      <c r="D25" s="8" t="s">
        <v>273</v>
      </c>
      <c r="E25" s="8" t="s">
        <v>289</v>
      </c>
      <c r="F25" s="8" t="s">
        <v>318</v>
      </c>
      <c r="G25" s="8" t="s">
        <v>319</v>
      </c>
      <c r="H25" s="23" t="n">
        <v>0</v>
      </c>
      <c r="I25" s="23" t="n">
        <v>0</v>
      </c>
      <c r="J25" s="24"/>
      <c r="K25" s="25" t="n">
        <f aca="false">(H25+I25)*J25</f>
        <v>0</v>
      </c>
      <c r="L25" s="25" t="n">
        <f aca="false">K25*12</f>
        <v>0</v>
      </c>
      <c r="M25" s="8" t="s">
        <v>320</v>
      </c>
    </row>
    <row r="26" customFormat="false" ht="15" hidden="false" customHeight="true" outlineLevel="0" collapsed="false">
      <c r="A26" s="8" t="n">
        <v>21</v>
      </c>
      <c r="B26" s="8" t="s">
        <v>39</v>
      </c>
      <c r="C26" s="8" t="s">
        <v>321</v>
      </c>
      <c r="D26" s="8" t="s">
        <v>273</v>
      </c>
      <c r="E26" s="8" t="s">
        <v>322</v>
      </c>
      <c r="F26" s="8" t="s">
        <v>252</v>
      </c>
      <c r="G26" s="8" t="s">
        <v>323</v>
      </c>
      <c r="H26" s="23" t="n">
        <v>0</v>
      </c>
      <c r="I26" s="23" t="n">
        <v>0</v>
      </c>
      <c r="J26" s="24"/>
      <c r="K26" s="25" t="n">
        <f aca="false">(H26+I26)*J26</f>
        <v>0</v>
      </c>
      <c r="L26" s="25" t="n">
        <f aca="false">K26*12</f>
        <v>0</v>
      </c>
      <c r="M26" s="8" t="s">
        <v>324</v>
      </c>
    </row>
    <row r="28" customFormat="false" ht="15" hidden="false" customHeight="true" outlineLevel="0" collapsed="false">
      <c r="J28" s="4" t="s">
        <v>325</v>
      </c>
      <c r="K28" s="26" t="n">
        <f aca="false">SUMIFS(K6:K26,$F$6:$F$26,"Required")</f>
        <v>0</v>
      </c>
      <c r="L28" s="26" t="n">
        <f aca="false">SUMIFS(L6:L26,$F$6:$F$26,"Required")</f>
        <v>0</v>
      </c>
    </row>
    <row r="29" customFormat="false" ht="15" hidden="false" customHeight="true" outlineLevel="0" collapsed="false">
      <c r="J29" s="4" t="s">
        <v>326</v>
      </c>
      <c r="K29" s="26" t="n">
        <f aca="false">SUMIFS(K6:K26,$F$6:$F$26,"Optional")</f>
        <v>0</v>
      </c>
      <c r="L29" s="26" t="n">
        <f aca="false">SUMIFS(L6:L26,$F$6:$F$26,"Optional")</f>
        <v>0</v>
      </c>
    </row>
    <row r="30" customFormat="false" ht="15" hidden="false" customHeight="true" outlineLevel="0" collapsed="false">
      <c r="J30" s="4" t="s">
        <v>327</v>
      </c>
      <c r="K30" s="26" t="n">
        <f aca="false">SUM(K6:K26)-SUMIFS(K6:K26,$F$6:$F$26,"Alternative")</f>
        <v>0</v>
      </c>
      <c r="L30" s="26" t="n">
        <f aca="false">SUM(L6:L26)-SUMIFS(L6:L26,$F$6:$F$26,"Alternative")</f>
        <v>0</v>
      </c>
    </row>
    <row r="32" customFormat="false" ht="15" hidden="false" customHeight="true" outlineLevel="0" collapsed="false">
      <c r="A32" s="27" t="s">
        <v>328</v>
      </c>
    </row>
  </sheetData>
  <autoFilter ref="A5:M26"/>
  <dataValidations count="1">
    <dataValidation allowBlank="true" errorStyle="stop" operator="between" showDropDown="false" showErrorMessage="false" showInputMessage="false" sqref="F6:F26" type="list">
      <formula1>"Required,Optional,Alternative"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70"/>
    <col collapsed="false" customWidth="true" hidden="false" outlineLevel="0" max="4" min="4" style="1" width="42"/>
    <col collapsed="false" customWidth="true" hidden="false" outlineLevel="0" max="5" min="5" style="1" width="14"/>
    <col collapsed="false" customWidth="true" hidden="false" outlineLevel="0" max="6" min="6" style="1" width="10"/>
  </cols>
  <sheetData>
    <row r="1" customFormat="false" ht="17.25" hidden="false" customHeight="true" outlineLevel="0" collapsed="false">
      <c r="A1" s="2" t="s">
        <v>329</v>
      </c>
    </row>
    <row r="2" customFormat="false" ht="15" hidden="false" customHeight="true" outlineLevel="0" collapsed="false">
      <c r="A2" s="3" t="s">
        <v>330</v>
      </c>
    </row>
    <row r="4" customFormat="false" ht="34.5" hidden="false" customHeight="true" outlineLevel="0" collapsed="false">
      <c r="A4" s="7" t="s">
        <v>26</v>
      </c>
      <c r="B4" s="7" t="s">
        <v>331</v>
      </c>
      <c r="C4" s="7" t="s">
        <v>332</v>
      </c>
      <c r="D4" s="7" t="s">
        <v>333</v>
      </c>
      <c r="E4" s="7" t="s">
        <v>334</v>
      </c>
      <c r="F4" s="7" t="s">
        <v>335</v>
      </c>
    </row>
    <row r="5" customFormat="false" ht="23.25" hidden="false" customHeight="true" outlineLevel="0" collapsed="false">
      <c r="A5" s="8" t="n">
        <v>1</v>
      </c>
      <c r="B5" s="8" t="s">
        <v>336</v>
      </c>
      <c r="C5" s="8" t="s">
        <v>337</v>
      </c>
      <c r="D5" s="8" t="s">
        <v>338</v>
      </c>
      <c r="E5" s="23" t="n">
        <v>3</v>
      </c>
      <c r="F5" s="8" t="s">
        <v>339</v>
      </c>
    </row>
    <row r="6" customFormat="false" ht="23.25" hidden="false" customHeight="true" outlineLevel="0" collapsed="false">
      <c r="A6" s="8" t="n">
        <v>2</v>
      </c>
      <c r="B6" s="8" t="s">
        <v>340</v>
      </c>
      <c r="C6" s="8" t="s">
        <v>341</v>
      </c>
      <c r="D6" s="8" t="s">
        <v>342</v>
      </c>
      <c r="E6" s="23" t="n">
        <v>1</v>
      </c>
      <c r="F6" s="8" t="s">
        <v>343</v>
      </c>
    </row>
    <row r="7" customFormat="false" ht="23.25" hidden="false" customHeight="true" outlineLevel="0" collapsed="false">
      <c r="A7" s="8" t="n">
        <v>3</v>
      </c>
      <c r="B7" s="8" t="s">
        <v>344</v>
      </c>
      <c r="C7" s="8" t="s">
        <v>345</v>
      </c>
      <c r="D7" s="8" t="s">
        <v>346</v>
      </c>
      <c r="E7" s="23" t="n">
        <v>2</v>
      </c>
      <c r="F7" s="8" t="s">
        <v>339</v>
      </c>
    </row>
    <row r="8" customFormat="false" ht="15" hidden="false" customHeight="true" outlineLevel="0" collapsed="false">
      <c r="A8" s="8" t="n">
        <v>4</v>
      </c>
      <c r="B8" s="8" t="s">
        <v>347</v>
      </c>
      <c r="C8" s="8" t="s">
        <v>348</v>
      </c>
      <c r="D8" s="8" t="s">
        <v>349</v>
      </c>
      <c r="E8" s="23" t="n">
        <v>1</v>
      </c>
      <c r="F8" s="8" t="s">
        <v>350</v>
      </c>
    </row>
    <row r="9" customFormat="false" ht="23.25" hidden="false" customHeight="true" outlineLevel="0" collapsed="false">
      <c r="A9" s="8" t="n">
        <v>5</v>
      </c>
      <c r="B9" s="8" t="s">
        <v>351</v>
      </c>
      <c r="C9" s="8" t="s">
        <v>352</v>
      </c>
      <c r="D9" s="8" t="s">
        <v>353</v>
      </c>
      <c r="E9" s="23" t="n">
        <v>2</v>
      </c>
      <c r="F9" s="8" t="s">
        <v>339</v>
      </c>
    </row>
    <row r="10" customFormat="false" ht="15" hidden="false" customHeight="true" outlineLevel="0" collapsed="false">
      <c r="A10" s="8" t="n">
        <v>6</v>
      </c>
      <c r="B10" s="8" t="s">
        <v>354</v>
      </c>
      <c r="C10" s="8" t="s">
        <v>355</v>
      </c>
      <c r="D10" s="8" t="s">
        <v>356</v>
      </c>
      <c r="E10" s="23" t="n">
        <v>1.5</v>
      </c>
      <c r="F10" s="8" t="s">
        <v>343</v>
      </c>
    </row>
    <row r="11" customFormat="false" ht="15" hidden="false" customHeight="true" outlineLevel="0" collapsed="false">
      <c r="A11" s="8" t="n">
        <v>7</v>
      </c>
      <c r="B11" s="8" t="s">
        <v>357</v>
      </c>
      <c r="C11" s="8" t="s">
        <v>358</v>
      </c>
      <c r="D11" s="8" t="s">
        <v>359</v>
      </c>
      <c r="E11" s="23" t="n">
        <v>1</v>
      </c>
      <c r="F11" s="8" t="s">
        <v>350</v>
      </c>
    </row>
    <row r="12" customFormat="false" ht="23.25" hidden="false" customHeight="true" outlineLevel="0" collapsed="false">
      <c r="A12" s="8" t="n">
        <v>8</v>
      </c>
      <c r="B12" s="8" t="s">
        <v>360</v>
      </c>
      <c r="C12" s="8" t="s">
        <v>361</v>
      </c>
      <c r="D12" s="8" t="s">
        <v>362</v>
      </c>
      <c r="E12" s="23" t="n">
        <v>1.5</v>
      </c>
      <c r="F12" s="8" t="s">
        <v>343</v>
      </c>
    </row>
    <row r="13" customFormat="false" ht="23.25" hidden="false" customHeight="true" outlineLevel="0" collapsed="false">
      <c r="A13" s="8" t="n">
        <v>9</v>
      </c>
      <c r="B13" s="8" t="s">
        <v>105</v>
      </c>
      <c r="C13" s="8" t="s">
        <v>363</v>
      </c>
      <c r="D13" s="8" t="s">
        <v>364</v>
      </c>
      <c r="E13" s="23" t="n">
        <v>1</v>
      </c>
      <c r="F13" s="8" t="s">
        <v>350</v>
      </c>
    </row>
    <row r="14" customFormat="false" ht="15" hidden="false" customHeight="true" outlineLevel="0" collapsed="false">
      <c r="A14" s="8" t="n">
        <v>10</v>
      </c>
      <c r="B14" s="8" t="s">
        <v>365</v>
      </c>
      <c r="C14" s="8" t="s">
        <v>366</v>
      </c>
      <c r="D14" s="8" t="s">
        <v>367</v>
      </c>
      <c r="E14" s="23" t="n">
        <v>1.5</v>
      </c>
      <c r="F14" s="8" t="s">
        <v>343</v>
      </c>
    </row>
    <row r="15" customFormat="false" ht="15" hidden="false" customHeight="true" outlineLevel="0" collapsed="false">
      <c r="A15" s="8" t="n">
        <v>11</v>
      </c>
      <c r="B15" s="8" t="s">
        <v>368</v>
      </c>
      <c r="C15" s="8" t="s">
        <v>369</v>
      </c>
      <c r="D15" s="8" t="s">
        <v>370</v>
      </c>
      <c r="E15" s="23" t="n">
        <v>2</v>
      </c>
      <c r="F15" s="8" t="s">
        <v>343</v>
      </c>
    </row>
    <row r="16" customFormat="false" ht="15" hidden="false" customHeight="true" outlineLevel="0" collapsed="false">
      <c r="D16" s="4" t="s">
        <v>371</v>
      </c>
      <c r="E16" s="28" t="n">
        <f aca="false">SUM(E5:E15)</f>
        <v>17.5</v>
      </c>
    </row>
  </sheetData>
  <autoFilter ref="A4:F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100"/>
    <col collapsed="false" customWidth="true" hidden="false" outlineLevel="0" max="4" min="4" style="1" width="45"/>
  </cols>
  <sheetData>
    <row r="1" customFormat="false" ht="17.25" hidden="false" customHeight="true" outlineLevel="0" collapsed="false">
      <c r="A1" s="2" t="s">
        <v>372</v>
      </c>
    </row>
    <row r="2" customFormat="false" ht="15" hidden="false" customHeight="true" outlineLevel="0" collapsed="false">
      <c r="A2" s="3" t="s">
        <v>373</v>
      </c>
    </row>
    <row r="4" customFormat="false" ht="15" hidden="false" customHeight="true" outlineLevel="0" collapsed="false">
      <c r="A4" s="7" t="s">
        <v>26</v>
      </c>
      <c r="B4" s="7" t="s">
        <v>374</v>
      </c>
      <c r="C4" s="7" t="s">
        <v>375</v>
      </c>
      <c r="D4" s="7" t="s">
        <v>376</v>
      </c>
    </row>
    <row r="5" customFormat="false" ht="23.25" hidden="false" customHeight="true" outlineLevel="0" collapsed="false">
      <c r="A5" s="8" t="n">
        <v>1</v>
      </c>
      <c r="B5" s="8" t="s">
        <v>377</v>
      </c>
      <c r="C5" s="8" t="s">
        <v>378</v>
      </c>
      <c r="D5" s="8" t="s">
        <v>379</v>
      </c>
    </row>
    <row r="6" customFormat="false" ht="15" hidden="false" customHeight="true" outlineLevel="0" collapsed="false">
      <c r="A6" s="8" t="n">
        <v>2</v>
      </c>
      <c r="B6" s="8" t="s">
        <v>377</v>
      </c>
      <c r="C6" s="8" t="s">
        <v>380</v>
      </c>
      <c r="D6" s="8" t="s">
        <v>381</v>
      </c>
    </row>
    <row r="7" customFormat="false" ht="15" hidden="false" customHeight="true" outlineLevel="0" collapsed="false">
      <c r="A7" s="8" t="n">
        <v>3</v>
      </c>
      <c r="B7" s="8" t="s">
        <v>377</v>
      </c>
      <c r="C7" s="8" t="s">
        <v>382</v>
      </c>
      <c r="D7" s="8" t="s">
        <v>383</v>
      </c>
    </row>
    <row r="8" customFormat="false" ht="15" hidden="false" customHeight="true" outlineLevel="0" collapsed="false">
      <c r="A8" s="8" t="n">
        <v>4</v>
      </c>
      <c r="B8" s="8" t="s">
        <v>377</v>
      </c>
      <c r="C8" s="8" t="s">
        <v>384</v>
      </c>
      <c r="D8" s="8" t="s">
        <v>385</v>
      </c>
    </row>
    <row r="9" customFormat="false" ht="15" hidden="false" customHeight="true" outlineLevel="0" collapsed="false">
      <c r="A9" s="8" t="n">
        <v>5</v>
      </c>
      <c r="B9" s="8" t="s">
        <v>377</v>
      </c>
      <c r="C9" s="8" t="s">
        <v>386</v>
      </c>
      <c r="D9" s="8" t="s">
        <v>387</v>
      </c>
    </row>
    <row r="10" customFormat="false" ht="15" hidden="false" customHeight="true" outlineLevel="0" collapsed="false">
      <c r="A10" s="8" t="n">
        <v>6</v>
      </c>
      <c r="B10" s="8" t="s">
        <v>377</v>
      </c>
      <c r="C10" s="8" t="s">
        <v>388</v>
      </c>
      <c r="D10" s="8" t="s">
        <v>389</v>
      </c>
    </row>
    <row r="11" customFormat="false" ht="15" hidden="false" customHeight="true" outlineLevel="0" collapsed="false">
      <c r="A11" s="8" t="n">
        <v>7</v>
      </c>
      <c r="B11" s="8" t="s">
        <v>377</v>
      </c>
      <c r="C11" s="8" t="s">
        <v>390</v>
      </c>
      <c r="D11" s="8" t="s">
        <v>391</v>
      </c>
    </row>
    <row r="12" customFormat="false" ht="23.25" hidden="false" customHeight="true" outlineLevel="0" collapsed="false">
      <c r="A12" s="8" t="n">
        <v>8</v>
      </c>
      <c r="B12" s="8" t="s">
        <v>392</v>
      </c>
      <c r="C12" s="8" t="s">
        <v>393</v>
      </c>
      <c r="D12" s="8" t="s">
        <v>394</v>
      </c>
    </row>
    <row r="13" customFormat="false" ht="15" hidden="false" customHeight="true" outlineLevel="0" collapsed="false">
      <c r="A13" s="8" t="n">
        <v>9</v>
      </c>
      <c r="B13" s="8" t="s">
        <v>392</v>
      </c>
      <c r="C13" s="8" t="s">
        <v>395</v>
      </c>
      <c r="D13" s="8" t="s">
        <v>396</v>
      </c>
    </row>
    <row r="14" customFormat="false" ht="15" hidden="false" customHeight="true" outlineLevel="0" collapsed="false">
      <c r="A14" s="8" t="n">
        <v>10</v>
      </c>
      <c r="B14" s="8" t="s">
        <v>392</v>
      </c>
      <c r="C14" s="8" t="s">
        <v>397</v>
      </c>
      <c r="D14" s="8" t="s">
        <v>398</v>
      </c>
    </row>
    <row r="15" customFormat="false" ht="15" hidden="false" customHeight="true" outlineLevel="0" collapsed="false">
      <c r="A15" s="8" t="n">
        <v>11</v>
      </c>
      <c r="B15" s="8" t="s">
        <v>392</v>
      </c>
      <c r="C15" s="8" t="s">
        <v>399</v>
      </c>
      <c r="D15" s="8" t="s">
        <v>400</v>
      </c>
    </row>
    <row r="16" customFormat="false" ht="15" hidden="false" customHeight="true" outlineLevel="0" collapsed="false">
      <c r="A16" s="8" t="n">
        <v>12</v>
      </c>
      <c r="B16" s="8" t="s">
        <v>392</v>
      </c>
      <c r="C16" s="8" t="s">
        <v>401</v>
      </c>
      <c r="D16" s="8" t="s">
        <v>402</v>
      </c>
    </row>
  </sheetData>
  <autoFilter ref="A4:D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2026-10-06T10:44:15Z</dcterms:created>
  <dc:creator>openpyxl</dc:creator>
  <dc:description/>
  <dc:language>en-IN</dc:language>
  <cp:lastModifiedBy/>
  <dcterms:modified xsi:type="dcterms:W3CDTF">2026-10-06T11:36:31Z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